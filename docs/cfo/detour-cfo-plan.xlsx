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Fleet growth and revenue" sheetId="1" r:id="rId1"/>
    <sheet name="Van unit economics and customer" sheetId="2" r:id="rId2"/>
    <sheet name="Fleet pricing examples" sheetId="3" r:id="rId3"/>
    <sheet name="Model inputs" sheetId="4" r:id="rId4"/>
  </sheets>
  <calcPr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#,##0.###;(#,##0.###)"/>
    <numFmt numFmtId="165" formatCode="&quot;$&quot;#,##0.00;(&quot;$&quot;#,##0.00)"/>
    <numFmt numFmtId="166" formatCode="0.0%"/>
    <numFmt numFmtId="167" formatCode="&quot;$&quot;#,##0;(&quot;$&quot;#,##0)"/>
    <numFmt numFmtId="168" formatCode="yyyy-mm-dd"/>
  </numFmts>
  <fonts count="4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4" borderId="1" xfId="0" applyFill="1" applyFont="1" applyBorder="1" applyAlignment="1">
      <alignment vertical="center" horizontal="right"/>
    </xf>
    <xf numFmtId="0" fontId="3" fillId="3" borderId="1" xfId="0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left"/>
    </xf>
    <xf numFmtId="164" fontId="3" fillId="5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0" fontId="0" fillId="0" borderId="0" xfId="0" applyAlignment="1">
      <alignment vertical="center" horizontal="left" indent="1"/>
    </xf>
    <xf numFmtId="165" fontId="3" fillId="5" borderId="1" xfId="0" applyNumberFormat="1" applyFill="1" applyFont="1" applyBorder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5" borderId="1" xfId="0" applyNumberFormat="1" applyFill="1" applyFont="1" applyBorder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7" fontId="3" fillId="5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0" fontId="3" fillId="5" borderId="1" xfId="0" applyFill="1" applyFont="1" applyBorder="1"/>
    <xf numFmtId="0" fontId="3" fillId="6" borderId="0" xfId="0" applyFill="1" applyFont="1" applyAlignment="1">
      <alignment vertical="center" horizontal="left"/>
    </xf>
    <xf numFmtId="168" fontId="0" fillId="0" borderId="0" xfId="0" applyNumberFormat="1" applyAlignment="1">
      <alignment vertical="center" horizontal="right"/>
    </xf>
    <xf numFmtId="0" fontId="0" fillId="6" borderId="0" xfId="0" applyFill="1" applyAlignment="1">
      <alignment vertical="center" horizontal="left" indent="1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Y2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Fleet growth and revenue</t>
        </is>
      </c>
    </row>
    <row r="2" ht="20" customHeight="1">
      <c r="A2" t="inlineStr" s="2">
        <is>
          <t xml:space="preserve">Detour — Revenue and van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Plan month</t>
        </is>
      </c>
      <c r="B5" s="7">
        <f>DATEDIF('Model inputs'!AA23,DATE(2026,10,1),"M")+1</f>
        <v>1</v>
      </c>
      <c r="C5" s="7">
        <f>DATEDIF('Model inputs'!AA23,DATE(2026,11,1),"M")+1</f>
        <v>2</v>
      </c>
      <c r="D5" s="7">
        <f>DATEDIF('Model inputs'!AA23,DATE(2026,12,1),"M")+1</f>
        <v>3</v>
      </c>
      <c r="E5" s="7">
        <f>DATEDIF('Model inputs'!AA23,DATE(2027,1,1),"M")+1</f>
        <v>4</v>
      </c>
      <c r="F5" s="7">
        <f>DATEDIF('Model inputs'!AA23,DATE(2027,2,1),"M")+1</f>
        <v>5</v>
      </c>
      <c r="G5" s="7">
        <f>DATEDIF('Model inputs'!AA23,DATE(2027,3,1),"M")+1</f>
        <v>6</v>
      </c>
      <c r="H5" s="7">
        <f>DATEDIF('Model inputs'!AA23,DATE(2027,4,1),"M")+1</f>
        <v>7</v>
      </c>
      <c r="I5" s="7">
        <f>DATEDIF('Model inputs'!AA23,DATE(2027,5,1),"M")+1</f>
        <v>8</v>
      </c>
      <c r="J5" s="7">
        <f>DATEDIF('Model inputs'!AA23,DATE(2027,6,1),"M")+1</f>
        <v>9</v>
      </c>
      <c r="K5" s="7">
        <f>DATEDIF('Model inputs'!AA23,DATE(2027,7,1),"M")+1</f>
        <v>10</v>
      </c>
      <c r="L5" s="7">
        <f>DATEDIF('Model inputs'!AA23,DATE(2027,8,1),"M")+1</f>
        <v>11</v>
      </c>
      <c r="M5" s="7">
        <f>DATEDIF('Model inputs'!AA23,DATE(2027,9,1),"M")+1</f>
        <v>12</v>
      </c>
      <c r="N5" s="7">
        <f>DATEDIF('Model inputs'!AA23,DATE(2027,10,1),"M")+1</f>
        <v>13</v>
      </c>
      <c r="O5" s="7">
        <f>DATEDIF('Model inputs'!AA23,DATE(2027,11,1),"M")+1</f>
        <v>14</v>
      </c>
      <c r="P5" s="7">
        <f>DATEDIF('Model inputs'!AA23,DATE(2027,12,1),"M")+1</f>
        <v>15</v>
      </c>
      <c r="Q5" s="7">
        <f>DATEDIF('Model inputs'!AA23,DATE(2028,1,1),"M")+1</f>
        <v>16</v>
      </c>
      <c r="R5" s="7">
        <f>DATEDIF('Model inputs'!AA23,DATE(2028,2,1),"M")+1</f>
        <v>17</v>
      </c>
      <c r="S5" s="7">
        <f>DATEDIF('Model inputs'!AA23,DATE(2028,3,1),"M")+1</f>
        <v>18</v>
      </c>
      <c r="T5" s="7">
        <f>DATEDIF('Model inputs'!AA23,DATE(2028,4,1),"M")+1</f>
        <v>19</v>
      </c>
      <c r="U5" s="7">
        <f>DATEDIF('Model inputs'!AA23,DATE(2028,5,1),"M")+1</f>
        <v>20</v>
      </c>
      <c r="V5" s="7">
        <f>DATEDIF('Model inputs'!AA23,DATE(2028,6,1),"M")+1</f>
        <v>21</v>
      </c>
      <c r="W5" s="7">
        <f>DATEDIF('Model inputs'!AA23,DATE(2028,7,1),"M")+1</f>
        <v>22</v>
      </c>
      <c r="X5" s="7">
        <f>DATEDIF('Model inputs'!AA23,DATE(2028,8,1),"M")+1</f>
        <v>23</v>
      </c>
      <c r="Y5" s="7">
        <f>DATEDIF('Model inputs'!AA23,DATE(2028,9,1),"M")+1</f>
        <v>24</v>
      </c>
    </row>
    <row r="6">
      <c r="A6" t="inlineStr" s="8">
        <is>
          <t xml:space="preserve">Active fleet target</t>
        </is>
      </c>
      <c r="B6" s="9">
        <f>IF(IF(IF(ISERROR('Fleet growth and revenue'!B5&lt;'Model inputs'!AA33),'Fleet growth and revenue'!B5&lt;'Model inputs'!AA33,IF(OR('Fleet growth and revenue'!B5="",'Model inputs'!AA33=""),"",'Fleet growth and revenue'!B5&lt;'Model inputs'!AA33))="",FALSE,IF(ISERROR('Fleet growth and revenue'!B5&lt;'Model inputs'!AA33),'Fleet growth and revenue'!B5&lt;'Model inputs'!AA33,IF(OR('Fleet growth and revenue'!B5="",'Model inputs'!AA33=""),"",'Fleet growth and revenue'!B5&lt;'Model inputs'!AA33))),0,ROUND('Model inputs'!AA32+('Model inputs'!AA31-'Model inputs'!AA32)*('Fleet growth and revenue'!B5-'Model inputs'!AA33)/('Model inputs'!AA34-'Model inputs'!AA33),0))</f>
        <v>0</v>
      </c>
      <c r="C6" s="9">
        <f>IF(IF(IF(ISERROR('Fleet growth and revenue'!C5&lt;'Model inputs'!AA33),'Fleet growth and revenue'!C5&lt;'Model inputs'!AA33,IF(OR('Fleet growth and revenue'!C5="",'Model inputs'!AA33=""),"",'Fleet growth and revenue'!C5&lt;'Model inputs'!AA33))="",FALSE,IF(ISERROR('Fleet growth and revenue'!C5&lt;'Model inputs'!AA33),'Fleet growth and revenue'!C5&lt;'Model inputs'!AA33,IF(OR('Fleet growth and revenue'!C5="",'Model inputs'!AA33=""),"",'Fleet growth and revenue'!C5&lt;'Model inputs'!AA33))),0,ROUND('Model inputs'!AA32+('Model inputs'!AA31-'Model inputs'!AA32)*('Fleet growth and revenue'!C5-'Model inputs'!AA33)/('Model inputs'!AA34-'Model inputs'!AA33),0))</f>
        <v>0</v>
      </c>
      <c r="D6" s="9">
        <f>IF(IF(IF(ISERROR('Fleet growth and revenue'!D5&lt;'Model inputs'!AA33),'Fleet growth and revenue'!D5&lt;'Model inputs'!AA33,IF(OR('Fleet growth and revenue'!D5="",'Model inputs'!AA33=""),"",'Fleet growth and revenue'!D5&lt;'Model inputs'!AA33))="",FALSE,IF(ISERROR('Fleet growth and revenue'!D5&lt;'Model inputs'!AA33),'Fleet growth and revenue'!D5&lt;'Model inputs'!AA33,IF(OR('Fleet growth and revenue'!D5="",'Model inputs'!AA33=""),"",'Fleet growth and revenue'!D5&lt;'Model inputs'!AA33))),0,ROUND('Model inputs'!AA32+('Model inputs'!AA31-'Model inputs'!AA32)*('Fleet growth and revenue'!D5-'Model inputs'!AA33)/('Model inputs'!AA34-'Model inputs'!AA33),0))</f>
        <v>3</v>
      </c>
      <c r="E6" s="9">
        <f>IF(IF(IF(ISERROR('Fleet growth and revenue'!E5&lt;'Model inputs'!AA33),'Fleet growth and revenue'!E5&lt;'Model inputs'!AA33,IF(OR('Fleet growth and revenue'!E5="",'Model inputs'!AA33=""),"",'Fleet growth and revenue'!E5&lt;'Model inputs'!AA33))="",FALSE,IF(ISERROR('Fleet growth and revenue'!E5&lt;'Model inputs'!AA33),'Fleet growth and revenue'!E5&lt;'Model inputs'!AA33,IF(OR('Fleet growth and revenue'!E5="",'Model inputs'!AA33=""),"",'Fleet growth and revenue'!E5&lt;'Model inputs'!AA33))),0,ROUND('Model inputs'!AA32+('Model inputs'!AA31-'Model inputs'!AA32)*('Fleet growth and revenue'!E5-'Model inputs'!AA33)/('Model inputs'!AA34-'Model inputs'!AA33),0))</f>
        <v>6</v>
      </c>
      <c r="F6" s="9">
        <f>IF(IF(IF(ISERROR('Fleet growth and revenue'!F5&lt;'Model inputs'!AA33),'Fleet growth and revenue'!F5&lt;'Model inputs'!AA33,IF(OR('Fleet growth and revenue'!F5="",'Model inputs'!AA33=""),"",'Fleet growth and revenue'!F5&lt;'Model inputs'!AA33))="",FALSE,IF(ISERROR('Fleet growth and revenue'!F5&lt;'Model inputs'!AA33),'Fleet growth and revenue'!F5&lt;'Model inputs'!AA33,IF(OR('Fleet growth and revenue'!F5="",'Model inputs'!AA33=""),"",'Fleet growth and revenue'!F5&lt;'Model inputs'!AA33))),0,ROUND('Model inputs'!AA32+('Model inputs'!AA31-'Model inputs'!AA32)*('Fleet growth and revenue'!F5-'Model inputs'!AA33)/('Model inputs'!AA34-'Model inputs'!AA33),0))</f>
        <v>8</v>
      </c>
      <c r="G6" s="9">
        <f>IF(IF(IF(ISERROR('Fleet growth and revenue'!G5&lt;'Model inputs'!AA33),'Fleet growth and revenue'!G5&lt;'Model inputs'!AA33,IF(OR('Fleet growth and revenue'!G5="",'Model inputs'!AA33=""),"",'Fleet growth and revenue'!G5&lt;'Model inputs'!AA33))="",FALSE,IF(ISERROR('Fleet growth and revenue'!G5&lt;'Model inputs'!AA33),'Fleet growth and revenue'!G5&lt;'Model inputs'!AA33,IF(OR('Fleet growth and revenue'!G5="",'Model inputs'!AA33=""),"",'Fleet growth and revenue'!G5&lt;'Model inputs'!AA33))),0,ROUND('Model inputs'!AA32+('Model inputs'!AA31-'Model inputs'!AA32)*('Fleet growth and revenue'!G5-'Model inputs'!AA33)/('Model inputs'!AA34-'Model inputs'!AA33),0))</f>
        <v>11</v>
      </c>
      <c r="H6" s="9">
        <f>IF(IF(IF(ISERROR('Fleet growth and revenue'!H5&lt;'Model inputs'!AA33),'Fleet growth and revenue'!H5&lt;'Model inputs'!AA33,IF(OR('Fleet growth and revenue'!H5="",'Model inputs'!AA33=""),"",'Fleet growth and revenue'!H5&lt;'Model inputs'!AA33))="",FALSE,IF(ISERROR('Fleet growth and revenue'!H5&lt;'Model inputs'!AA33),'Fleet growth and revenue'!H5&lt;'Model inputs'!AA33,IF(OR('Fleet growth and revenue'!H5="",'Model inputs'!AA33=""),"",'Fleet growth and revenue'!H5&lt;'Model inputs'!AA33))),0,ROUND('Model inputs'!AA32+('Model inputs'!AA31-'Model inputs'!AA32)*('Fleet growth and revenue'!H5-'Model inputs'!AA33)/('Model inputs'!AA34-'Model inputs'!AA33),0))</f>
        <v>14</v>
      </c>
      <c r="I6" s="9">
        <f>IF(IF(IF(ISERROR('Fleet growth and revenue'!I5&lt;'Model inputs'!AA33),'Fleet growth and revenue'!I5&lt;'Model inputs'!AA33,IF(OR('Fleet growth and revenue'!I5="",'Model inputs'!AA33=""),"",'Fleet growth and revenue'!I5&lt;'Model inputs'!AA33))="",FALSE,IF(ISERROR('Fleet growth and revenue'!I5&lt;'Model inputs'!AA33),'Fleet growth and revenue'!I5&lt;'Model inputs'!AA33,IF(OR('Fleet growth and revenue'!I5="",'Model inputs'!AA33=""),"",'Fleet growth and revenue'!I5&lt;'Model inputs'!AA33))),0,ROUND('Model inputs'!AA32+('Model inputs'!AA31-'Model inputs'!AA32)*('Fleet growth and revenue'!I5-'Model inputs'!AA33)/('Model inputs'!AA34-'Model inputs'!AA33),0))</f>
        <v>17</v>
      </c>
      <c r="J6" s="9">
        <f>IF(IF(IF(ISERROR('Fleet growth and revenue'!J5&lt;'Model inputs'!AA33),'Fleet growth and revenue'!J5&lt;'Model inputs'!AA33,IF(OR('Fleet growth and revenue'!J5="",'Model inputs'!AA33=""),"",'Fleet growth and revenue'!J5&lt;'Model inputs'!AA33))="",FALSE,IF(ISERROR('Fleet growth and revenue'!J5&lt;'Model inputs'!AA33),'Fleet growth and revenue'!J5&lt;'Model inputs'!AA33,IF(OR('Fleet growth and revenue'!J5="",'Model inputs'!AA33=""),"",'Fleet growth and revenue'!J5&lt;'Model inputs'!AA33))),0,ROUND('Model inputs'!AA32+('Model inputs'!AA31-'Model inputs'!AA32)*('Fleet growth and revenue'!J5-'Model inputs'!AA33)/('Model inputs'!AA34-'Model inputs'!AA33),0))</f>
        <v>19</v>
      </c>
      <c r="K6" s="9">
        <f>IF(IF(IF(ISERROR('Fleet growth and revenue'!K5&lt;'Model inputs'!AA33),'Fleet growth and revenue'!K5&lt;'Model inputs'!AA33,IF(OR('Fleet growth and revenue'!K5="",'Model inputs'!AA33=""),"",'Fleet growth and revenue'!K5&lt;'Model inputs'!AA33))="",FALSE,IF(ISERROR('Fleet growth and revenue'!K5&lt;'Model inputs'!AA33),'Fleet growth and revenue'!K5&lt;'Model inputs'!AA33,IF(OR('Fleet growth and revenue'!K5="",'Model inputs'!AA33=""),"",'Fleet growth and revenue'!K5&lt;'Model inputs'!AA33))),0,ROUND('Model inputs'!AA32+('Model inputs'!AA31-'Model inputs'!AA32)*('Fleet growth and revenue'!K5-'Model inputs'!AA33)/('Model inputs'!AA34-'Model inputs'!AA33),0))</f>
        <v>22</v>
      </c>
      <c r="L6" s="9">
        <f>IF(IF(IF(ISERROR('Fleet growth and revenue'!L5&lt;'Model inputs'!AA33),'Fleet growth and revenue'!L5&lt;'Model inputs'!AA33,IF(OR('Fleet growth and revenue'!L5="",'Model inputs'!AA33=""),"",'Fleet growth and revenue'!L5&lt;'Model inputs'!AA33))="",FALSE,IF(ISERROR('Fleet growth and revenue'!L5&lt;'Model inputs'!AA33),'Fleet growth and revenue'!L5&lt;'Model inputs'!AA33,IF(OR('Fleet growth and revenue'!L5="",'Model inputs'!AA33=""),"",'Fleet growth and revenue'!L5&lt;'Model inputs'!AA33))),0,ROUND('Model inputs'!AA32+('Model inputs'!AA31-'Model inputs'!AA32)*('Fleet growth and revenue'!L5-'Model inputs'!AA33)/('Model inputs'!AA34-'Model inputs'!AA33),0))</f>
        <v>25</v>
      </c>
      <c r="M6" s="9">
        <f>IF(IF(IF(ISERROR('Fleet growth and revenue'!M5&lt;'Model inputs'!AA33),'Fleet growth and revenue'!M5&lt;'Model inputs'!AA33,IF(OR('Fleet growth and revenue'!M5="",'Model inputs'!AA33=""),"",'Fleet growth and revenue'!M5&lt;'Model inputs'!AA33))="",FALSE,IF(ISERROR('Fleet growth and revenue'!M5&lt;'Model inputs'!AA33),'Fleet growth and revenue'!M5&lt;'Model inputs'!AA33,IF(OR('Fleet growth and revenue'!M5="",'Model inputs'!AA33=""),"",'Fleet growth and revenue'!M5&lt;'Model inputs'!AA33))),0,ROUND('Model inputs'!AA32+('Model inputs'!AA31-'Model inputs'!AA32)*('Fleet growth and revenue'!M5-'Model inputs'!AA33)/('Model inputs'!AA34-'Model inputs'!AA33),0))</f>
        <v>27</v>
      </c>
      <c r="N6" s="9">
        <f>IF(IF(IF(ISERROR('Fleet growth and revenue'!N5&lt;'Model inputs'!AA33),'Fleet growth and revenue'!N5&lt;'Model inputs'!AA33,IF(OR('Fleet growth and revenue'!N5="",'Model inputs'!AA33=""),"",'Fleet growth and revenue'!N5&lt;'Model inputs'!AA33))="",FALSE,IF(ISERROR('Fleet growth and revenue'!N5&lt;'Model inputs'!AA33),'Fleet growth and revenue'!N5&lt;'Model inputs'!AA33,IF(OR('Fleet growth and revenue'!N5="",'Model inputs'!AA33=""),"",'Fleet growth and revenue'!N5&lt;'Model inputs'!AA33))),0,ROUND('Model inputs'!AA32+('Model inputs'!AA31-'Model inputs'!AA32)*('Fleet growth and revenue'!N5-'Model inputs'!AA33)/('Model inputs'!AA34-'Model inputs'!AA33),0))</f>
        <v>30</v>
      </c>
      <c r="O6" s="9">
        <f>IF(IF(IF(ISERROR('Fleet growth and revenue'!O5&lt;'Model inputs'!AA33),'Fleet growth and revenue'!O5&lt;'Model inputs'!AA33,IF(OR('Fleet growth and revenue'!O5="",'Model inputs'!AA33=""),"",'Fleet growth and revenue'!O5&lt;'Model inputs'!AA33))="",FALSE,IF(ISERROR('Fleet growth and revenue'!O5&lt;'Model inputs'!AA33),'Fleet growth and revenue'!O5&lt;'Model inputs'!AA33,IF(OR('Fleet growth and revenue'!O5="",'Model inputs'!AA33=""),"",'Fleet growth and revenue'!O5&lt;'Model inputs'!AA33))),0,ROUND('Model inputs'!AA32+('Model inputs'!AA31-'Model inputs'!AA32)*('Fleet growth and revenue'!O5-'Model inputs'!AA33)/('Model inputs'!AA34-'Model inputs'!AA33),0))</f>
        <v>33</v>
      </c>
      <c r="P6" s="9">
        <f>IF(IF(IF(ISERROR('Fleet growth and revenue'!P5&lt;'Model inputs'!AA33),'Fleet growth and revenue'!P5&lt;'Model inputs'!AA33,IF(OR('Fleet growth and revenue'!P5="",'Model inputs'!AA33=""),"",'Fleet growth and revenue'!P5&lt;'Model inputs'!AA33))="",FALSE,IF(ISERROR('Fleet growth and revenue'!P5&lt;'Model inputs'!AA33),'Fleet growth and revenue'!P5&lt;'Model inputs'!AA33,IF(OR('Fleet growth and revenue'!P5="",'Model inputs'!AA33=""),"",'Fleet growth and revenue'!P5&lt;'Model inputs'!AA33))),0,ROUND('Model inputs'!AA32+('Model inputs'!AA31-'Model inputs'!AA32)*('Fleet growth and revenue'!P5-'Model inputs'!AA33)/('Model inputs'!AA34-'Model inputs'!AA33),0))</f>
        <v>36</v>
      </c>
      <c r="Q6" s="9">
        <f>IF(IF(IF(ISERROR('Fleet growth and revenue'!Q5&lt;'Model inputs'!AA33),'Fleet growth and revenue'!Q5&lt;'Model inputs'!AA33,IF(OR('Fleet growth and revenue'!Q5="",'Model inputs'!AA33=""),"",'Fleet growth and revenue'!Q5&lt;'Model inputs'!AA33))="",FALSE,IF(ISERROR('Fleet growth and revenue'!Q5&lt;'Model inputs'!AA33),'Fleet growth and revenue'!Q5&lt;'Model inputs'!AA33,IF(OR('Fleet growth and revenue'!Q5="",'Model inputs'!AA33=""),"",'Fleet growth and revenue'!Q5&lt;'Model inputs'!AA33))),0,ROUND('Model inputs'!AA32+('Model inputs'!AA31-'Model inputs'!AA32)*('Fleet growth and revenue'!Q5-'Model inputs'!AA33)/('Model inputs'!AA34-'Model inputs'!AA33),0))</f>
        <v>38</v>
      </c>
      <c r="R6" s="9">
        <f>IF(IF(IF(ISERROR('Fleet growth and revenue'!R5&lt;'Model inputs'!AA33),'Fleet growth and revenue'!R5&lt;'Model inputs'!AA33,IF(OR('Fleet growth and revenue'!R5="",'Model inputs'!AA33=""),"",'Fleet growth and revenue'!R5&lt;'Model inputs'!AA33))="",FALSE,IF(ISERROR('Fleet growth and revenue'!R5&lt;'Model inputs'!AA33),'Fleet growth and revenue'!R5&lt;'Model inputs'!AA33,IF(OR('Fleet growth and revenue'!R5="",'Model inputs'!AA33=""),"",'Fleet growth and revenue'!R5&lt;'Model inputs'!AA33))),0,ROUND('Model inputs'!AA32+('Model inputs'!AA31-'Model inputs'!AA32)*('Fleet growth and revenue'!R5-'Model inputs'!AA33)/('Model inputs'!AA34-'Model inputs'!AA33),0))</f>
        <v>41</v>
      </c>
      <c r="S6" s="9">
        <f>IF(IF(IF(ISERROR('Fleet growth and revenue'!S5&lt;'Model inputs'!AA33),'Fleet growth and revenue'!S5&lt;'Model inputs'!AA33,IF(OR('Fleet growth and revenue'!S5="",'Model inputs'!AA33=""),"",'Fleet growth and revenue'!S5&lt;'Model inputs'!AA33))="",FALSE,IF(ISERROR('Fleet growth and revenue'!S5&lt;'Model inputs'!AA33),'Fleet growth and revenue'!S5&lt;'Model inputs'!AA33,IF(OR('Fleet growth and revenue'!S5="",'Model inputs'!AA33=""),"",'Fleet growth and revenue'!S5&lt;'Model inputs'!AA33))),0,ROUND('Model inputs'!AA32+('Model inputs'!AA31-'Model inputs'!AA32)*('Fleet growth and revenue'!S5-'Model inputs'!AA33)/('Model inputs'!AA34-'Model inputs'!AA33),0))</f>
        <v>44</v>
      </c>
      <c r="T6" s="9">
        <f>IF(IF(IF(ISERROR('Fleet growth and revenue'!T5&lt;'Model inputs'!AA33),'Fleet growth and revenue'!T5&lt;'Model inputs'!AA33,IF(OR('Fleet growth and revenue'!T5="",'Model inputs'!AA33=""),"",'Fleet growth and revenue'!T5&lt;'Model inputs'!AA33))="",FALSE,IF(ISERROR('Fleet growth and revenue'!T5&lt;'Model inputs'!AA33),'Fleet growth and revenue'!T5&lt;'Model inputs'!AA33,IF(OR('Fleet growth and revenue'!T5="",'Model inputs'!AA33=""),"",'Fleet growth and revenue'!T5&lt;'Model inputs'!AA33))),0,ROUND('Model inputs'!AA32+('Model inputs'!AA31-'Model inputs'!AA32)*('Fleet growth and revenue'!T5-'Model inputs'!AA33)/('Model inputs'!AA34-'Model inputs'!AA33),0))</f>
        <v>46</v>
      </c>
      <c r="U6" s="9">
        <f>IF(IF(IF(ISERROR('Fleet growth and revenue'!U5&lt;'Model inputs'!AA33),'Fleet growth and revenue'!U5&lt;'Model inputs'!AA33,IF(OR('Fleet growth and revenue'!U5="",'Model inputs'!AA33=""),"",'Fleet growth and revenue'!U5&lt;'Model inputs'!AA33))="",FALSE,IF(ISERROR('Fleet growth and revenue'!U5&lt;'Model inputs'!AA33),'Fleet growth and revenue'!U5&lt;'Model inputs'!AA33,IF(OR('Fleet growth and revenue'!U5="",'Model inputs'!AA33=""),"",'Fleet growth and revenue'!U5&lt;'Model inputs'!AA33))),0,ROUND('Model inputs'!AA32+('Model inputs'!AA31-'Model inputs'!AA32)*('Fleet growth and revenue'!U5-'Model inputs'!AA33)/('Model inputs'!AA34-'Model inputs'!AA33),0))</f>
        <v>49</v>
      </c>
      <c r="V6" s="9">
        <f>IF(IF(IF(ISERROR('Fleet growth and revenue'!V5&lt;'Model inputs'!AA33),'Fleet growth and revenue'!V5&lt;'Model inputs'!AA33,IF(OR('Fleet growth and revenue'!V5="",'Model inputs'!AA33=""),"",'Fleet growth and revenue'!V5&lt;'Model inputs'!AA33))="",FALSE,IF(ISERROR('Fleet growth and revenue'!V5&lt;'Model inputs'!AA33),'Fleet growth and revenue'!V5&lt;'Model inputs'!AA33,IF(OR('Fleet growth and revenue'!V5="",'Model inputs'!AA33=""),"",'Fleet growth and revenue'!V5&lt;'Model inputs'!AA33))),0,ROUND('Model inputs'!AA32+('Model inputs'!AA31-'Model inputs'!AA32)*('Fleet growth and revenue'!V5-'Model inputs'!AA33)/('Model inputs'!AA34-'Model inputs'!AA33),0))</f>
        <v>52</v>
      </c>
      <c r="W6" s="9">
        <f>IF(IF(IF(ISERROR('Fleet growth and revenue'!W5&lt;'Model inputs'!AA33),'Fleet growth and revenue'!W5&lt;'Model inputs'!AA33,IF(OR('Fleet growth and revenue'!W5="",'Model inputs'!AA33=""),"",'Fleet growth and revenue'!W5&lt;'Model inputs'!AA33))="",FALSE,IF(ISERROR('Fleet growth and revenue'!W5&lt;'Model inputs'!AA33),'Fleet growth and revenue'!W5&lt;'Model inputs'!AA33,IF(OR('Fleet growth and revenue'!W5="",'Model inputs'!AA33=""),"",'Fleet growth and revenue'!W5&lt;'Model inputs'!AA33))),0,ROUND('Model inputs'!AA32+('Model inputs'!AA31-'Model inputs'!AA32)*('Fleet growth and revenue'!W5-'Model inputs'!AA33)/('Model inputs'!AA34-'Model inputs'!AA33),0))</f>
        <v>55</v>
      </c>
      <c r="X6" s="9">
        <f>IF(IF(IF(ISERROR('Fleet growth and revenue'!X5&lt;'Model inputs'!AA33),'Fleet growth and revenue'!X5&lt;'Model inputs'!AA33,IF(OR('Fleet growth and revenue'!X5="",'Model inputs'!AA33=""),"",'Fleet growth and revenue'!X5&lt;'Model inputs'!AA33))="",FALSE,IF(ISERROR('Fleet growth and revenue'!X5&lt;'Model inputs'!AA33),'Fleet growth and revenue'!X5&lt;'Model inputs'!AA33,IF(OR('Fleet growth and revenue'!X5="",'Model inputs'!AA33=""),"",'Fleet growth and revenue'!X5&lt;'Model inputs'!AA33))),0,ROUND('Model inputs'!AA32+('Model inputs'!AA31-'Model inputs'!AA32)*('Fleet growth and revenue'!X5-'Model inputs'!AA33)/('Model inputs'!AA34-'Model inputs'!AA33),0))</f>
        <v>57</v>
      </c>
      <c r="Y6" s="9">
        <f>IF(IF(IF(ISERROR('Fleet growth and revenue'!Y5&lt;'Model inputs'!AA33),'Fleet growth and revenue'!Y5&lt;'Model inputs'!AA33,IF(OR('Fleet growth and revenue'!Y5="",'Model inputs'!AA33=""),"",'Fleet growth and revenue'!Y5&lt;'Model inputs'!AA33))="",FALSE,IF(ISERROR('Fleet growth and revenue'!Y5&lt;'Model inputs'!AA33),'Fleet growth and revenue'!Y5&lt;'Model inputs'!AA33,IF(OR('Fleet growth and revenue'!Y5="",'Model inputs'!AA33=""),"",'Fleet growth and revenue'!Y5&lt;'Model inputs'!AA33))),0,ROUND('Model inputs'!AA32+('Model inputs'!AA31-'Model inputs'!AA32)*('Fleet growth and revenue'!Y5-'Model inputs'!AA33)/('Model inputs'!AA34-'Model inputs'!AA33),0))</f>
        <v>60</v>
      </c>
    </row>
    <row r="7">
      <c r="A7" t="inlineStr" s="8">
        <is>
          <t xml:space="preserve">Large active fleets</t>
        </is>
      </c>
      <c r="B7" s="9">
        <f>IF(IF(IF(ISERROR('Fleet growth and revenue'!B5&lt;'Model inputs'!AA10),'Fleet growth and revenue'!B5&lt;'Model inputs'!AA10,IF(OR('Fleet growth and revenue'!B5="",'Model inputs'!AA10=""),"",'Fleet growth and revenue'!B5&lt;'Model inputs'!AA10))="",FALSE,IF(ISERROR('Fleet growth and revenue'!B5&lt;'Model inputs'!AA10),'Fleet growth and revenue'!B5&lt;'Model inputs'!AA10,IF(OR('Fleet growth and revenue'!B5="",'Model inputs'!AA10=""),"",'Fleet growth and revenue'!B5&lt;'Model inputs'!AA10))),0,ROUND(MAX(0,'Fleet growth and revenue'!B6-'Model inputs'!AA32)*'Model inputs'!AA13,0))</f>
        <v>0</v>
      </c>
      <c r="C7" s="9">
        <f>IF(IF(IF(ISERROR('Fleet growth and revenue'!C5&lt;'Model inputs'!AA10),'Fleet growth and revenue'!C5&lt;'Model inputs'!AA10,IF(OR('Fleet growth and revenue'!C5="",'Model inputs'!AA10=""),"",'Fleet growth and revenue'!C5&lt;'Model inputs'!AA10))="",FALSE,IF(ISERROR('Fleet growth and revenue'!C5&lt;'Model inputs'!AA10),'Fleet growth and revenue'!C5&lt;'Model inputs'!AA10,IF(OR('Fleet growth and revenue'!C5="",'Model inputs'!AA10=""),"",'Fleet growth and revenue'!C5&lt;'Model inputs'!AA10))),0,ROUND(MAX(0,'Fleet growth and revenue'!C6-'Model inputs'!AA32)*'Model inputs'!AA13,0))</f>
        <v>0</v>
      </c>
      <c r="D7" s="9">
        <f>IF(IF(IF(ISERROR('Fleet growth and revenue'!D5&lt;'Model inputs'!AA10),'Fleet growth and revenue'!D5&lt;'Model inputs'!AA10,IF(OR('Fleet growth and revenue'!D5="",'Model inputs'!AA10=""),"",'Fleet growth and revenue'!D5&lt;'Model inputs'!AA10))="",FALSE,IF(ISERROR('Fleet growth and revenue'!D5&lt;'Model inputs'!AA10),'Fleet growth and revenue'!D5&lt;'Model inputs'!AA10,IF(OR('Fleet growth and revenue'!D5="",'Model inputs'!AA10=""),"",'Fleet growth and revenue'!D5&lt;'Model inputs'!AA10))),0,ROUND(MAX(0,'Fleet growth and revenue'!D6-'Model inputs'!AA32)*'Model inputs'!AA13,0))</f>
        <v>0</v>
      </c>
      <c r="E7" s="9">
        <f>IF(IF(IF(ISERROR('Fleet growth and revenue'!E5&lt;'Model inputs'!AA10),'Fleet growth and revenue'!E5&lt;'Model inputs'!AA10,IF(OR('Fleet growth and revenue'!E5="",'Model inputs'!AA10=""),"",'Fleet growth and revenue'!E5&lt;'Model inputs'!AA10))="",FALSE,IF(ISERROR('Fleet growth and revenue'!E5&lt;'Model inputs'!AA10),'Fleet growth and revenue'!E5&lt;'Model inputs'!AA10,IF(OR('Fleet growth and revenue'!E5="",'Model inputs'!AA10=""),"",'Fleet growth and revenue'!E5&lt;'Model inputs'!AA10))),0,ROUND(MAX(0,'Fleet growth and revenue'!E6-'Model inputs'!AA32)*'Model inputs'!AA13,0))</f>
        <v>0</v>
      </c>
      <c r="F7" s="9">
        <f>IF(IF(IF(ISERROR('Fleet growth and revenue'!F5&lt;'Model inputs'!AA10),'Fleet growth and revenue'!F5&lt;'Model inputs'!AA10,IF(OR('Fleet growth and revenue'!F5="",'Model inputs'!AA10=""),"",'Fleet growth and revenue'!F5&lt;'Model inputs'!AA10))="",FALSE,IF(ISERROR('Fleet growth and revenue'!F5&lt;'Model inputs'!AA10),'Fleet growth and revenue'!F5&lt;'Model inputs'!AA10,IF(OR('Fleet growth and revenue'!F5="",'Model inputs'!AA10=""),"",'Fleet growth and revenue'!F5&lt;'Model inputs'!AA10))),0,ROUND(MAX(0,'Fleet growth and revenue'!F6-'Model inputs'!AA32)*'Model inputs'!AA13,0))</f>
        <v>0</v>
      </c>
      <c r="G7" s="9">
        <f>IF(IF(IF(ISERROR('Fleet growth and revenue'!G5&lt;'Model inputs'!AA10),'Fleet growth and revenue'!G5&lt;'Model inputs'!AA10,IF(OR('Fleet growth and revenue'!G5="",'Model inputs'!AA10=""),"",'Fleet growth and revenue'!G5&lt;'Model inputs'!AA10))="",FALSE,IF(ISERROR('Fleet growth and revenue'!G5&lt;'Model inputs'!AA10),'Fleet growth and revenue'!G5&lt;'Model inputs'!AA10,IF(OR('Fleet growth and revenue'!G5="",'Model inputs'!AA10=""),"",'Fleet growth and revenue'!G5&lt;'Model inputs'!AA10))),0,ROUND(MAX(0,'Fleet growth and revenue'!G6-'Model inputs'!AA32)*'Model inputs'!AA13,0))</f>
        <v>2</v>
      </c>
      <c r="H7" s="9">
        <f>IF(IF(IF(ISERROR('Fleet growth and revenue'!H5&lt;'Model inputs'!AA10),'Fleet growth and revenue'!H5&lt;'Model inputs'!AA10,IF(OR('Fleet growth and revenue'!H5="",'Model inputs'!AA10=""),"",'Fleet growth and revenue'!H5&lt;'Model inputs'!AA10))="",FALSE,IF(ISERROR('Fleet growth and revenue'!H5&lt;'Model inputs'!AA10),'Fleet growth and revenue'!H5&lt;'Model inputs'!AA10,IF(OR('Fleet growth and revenue'!H5="",'Model inputs'!AA10=""),"",'Fleet growth and revenue'!H5&lt;'Model inputs'!AA10))),0,ROUND(MAX(0,'Fleet growth and revenue'!H6-'Model inputs'!AA32)*'Model inputs'!AA13,0))</f>
        <v>2</v>
      </c>
      <c r="I7" s="9">
        <f>IF(IF(IF(ISERROR('Fleet growth and revenue'!I5&lt;'Model inputs'!AA10),'Fleet growth and revenue'!I5&lt;'Model inputs'!AA10,IF(OR('Fleet growth and revenue'!I5="",'Model inputs'!AA10=""),"",'Fleet growth and revenue'!I5&lt;'Model inputs'!AA10))="",FALSE,IF(ISERROR('Fleet growth and revenue'!I5&lt;'Model inputs'!AA10),'Fleet growth and revenue'!I5&lt;'Model inputs'!AA10,IF(OR('Fleet growth and revenue'!I5="",'Model inputs'!AA10=""),"",'Fleet growth and revenue'!I5&lt;'Model inputs'!AA10))),0,ROUND(MAX(0,'Fleet growth and revenue'!I6-'Model inputs'!AA32)*'Model inputs'!AA13,0))</f>
        <v>3</v>
      </c>
      <c r="J7" s="9">
        <f>IF(IF(IF(ISERROR('Fleet growth and revenue'!J5&lt;'Model inputs'!AA10),'Fleet growth and revenue'!J5&lt;'Model inputs'!AA10,IF(OR('Fleet growth and revenue'!J5="",'Model inputs'!AA10=""),"",'Fleet growth and revenue'!J5&lt;'Model inputs'!AA10))="",FALSE,IF(ISERROR('Fleet growth and revenue'!J5&lt;'Model inputs'!AA10),'Fleet growth and revenue'!J5&lt;'Model inputs'!AA10,IF(OR('Fleet growth and revenue'!J5="",'Model inputs'!AA10=""),"",'Fleet growth and revenue'!J5&lt;'Model inputs'!AA10))),0,ROUND(MAX(0,'Fleet growth and revenue'!J6-'Model inputs'!AA32)*'Model inputs'!AA13,0))</f>
        <v>3</v>
      </c>
      <c r="K7" s="9">
        <f>IF(IF(IF(ISERROR('Fleet growth and revenue'!K5&lt;'Model inputs'!AA10),'Fleet growth and revenue'!K5&lt;'Model inputs'!AA10,IF(OR('Fleet growth and revenue'!K5="",'Model inputs'!AA10=""),"",'Fleet growth and revenue'!K5&lt;'Model inputs'!AA10))="",FALSE,IF(ISERROR('Fleet growth and revenue'!K5&lt;'Model inputs'!AA10),'Fleet growth and revenue'!K5&lt;'Model inputs'!AA10,IF(OR('Fleet growth and revenue'!K5="",'Model inputs'!AA10=""),"",'Fleet growth and revenue'!K5&lt;'Model inputs'!AA10))),0,ROUND(MAX(0,'Fleet growth and revenue'!K6-'Model inputs'!AA32)*'Model inputs'!AA13,0))</f>
        <v>4</v>
      </c>
      <c r="L7" s="9">
        <f>IF(IF(IF(ISERROR('Fleet growth and revenue'!L5&lt;'Model inputs'!AA10),'Fleet growth and revenue'!L5&lt;'Model inputs'!AA10,IF(OR('Fleet growth and revenue'!L5="",'Model inputs'!AA10=""),"",'Fleet growth and revenue'!L5&lt;'Model inputs'!AA10))="",FALSE,IF(ISERROR('Fleet growth and revenue'!L5&lt;'Model inputs'!AA10),'Fleet growth and revenue'!L5&lt;'Model inputs'!AA10,IF(OR('Fleet growth and revenue'!L5="",'Model inputs'!AA10=""),"",'Fleet growth and revenue'!L5&lt;'Model inputs'!AA10))),0,ROUND(MAX(0,'Fleet growth and revenue'!L6-'Model inputs'!AA32)*'Model inputs'!AA13,0))</f>
        <v>4</v>
      </c>
      <c r="M7" s="9">
        <f>IF(IF(IF(ISERROR('Fleet growth and revenue'!M5&lt;'Model inputs'!AA10),'Fleet growth and revenue'!M5&lt;'Model inputs'!AA10,IF(OR('Fleet growth and revenue'!M5="",'Model inputs'!AA10=""),"",'Fleet growth and revenue'!M5&lt;'Model inputs'!AA10))="",FALSE,IF(ISERROR('Fleet growth and revenue'!M5&lt;'Model inputs'!AA10),'Fleet growth and revenue'!M5&lt;'Model inputs'!AA10,IF(OR('Fleet growth and revenue'!M5="",'Model inputs'!AA10=""),"",'Fleet growth and revenue'!M5&lt;'Model inputs'!AA10))),0,ROUND(MAX(0,'Fleet growth and revenue'!M6-'Model inputs'!AA32)*'Model inputs'!AA13,0))</f>
        <v>5</v>
      </c>
      <c r="N7" s="9">
        <f>IF(IF(IF(ISERROR('Fleet growth and revenue'!N5&lt;'Model inputs'!AA10),'Fleet growth and revenue'!N5&lt;'Model inputs'!AA10,IF(OR('Fleet growth and revenue'!N5="",'Model inputs'!AA10=""),"",'Fleet growth and revenue'!N5&lt;'Model inputs'!AA10))="",FALSE,IF(ISERROR('Fleet growth and revenue'!N5&lt;'Model inputs'!AA10),'Fleet growth and revenue'!N5&lt;'Model inputs'!AA10,IF(OR('Fleet growth and revenue'!N5="",'Model inputs'!AA10=""),"",'Fleet growth and revenue'!N5&lt;'Model inputs'!AA10))),0,ROUND(MAX(0,'Fleet growth and revenue'!N6-'Model inputs'!AA32)*'Model inputs'!AA13,0))</f>
        <v>5</v>
      </c>
      <c r="O7" s="9">
        <f>IF(IF(IF(ISERROR('Fleet growth and revenue'!O5&lt;'Model inputs'!AA10),'Fleet growth and revenue'!O5&lt;'Model inputs'!AA10,IF(OR('Fleet growth and revenue'!O5="",'Model inputs'!AA10=""),"",'Fleet growth and revenue'!O5&lt;'Model inputs'!AA10))="",FALSE,IF(ISERROR('Fleet growth and revenue'!O5&lt;'Model inputs'!AA10),'Fleet growth and revenue'!O5&lt;'Model inputs'!AA10,IF(OR('Fleet growth and revenue'!O5="",'Model inputs'!AA10=""),"",'Fleet growth and revenue'!O5&lt;'Model inputs'!AA10))),0,ROUND(MAX(0,'Fleet growth and revenue'!O6-'Model inputs'!AA32)*'Model inputs'!AA13,0))</f>
        <v>6</v>
      </c>
      <c r="P7" s="9">
        <f>IF(IF(IF(ISERROR('Fleet growth and revenue'!P5&lt;'Model inputs'!AA10),'Fleet growth and revenue'!P5&lt;'Model inputs'!AA10,IF(OR('Fleet growth and revenue'!P5="",'Model inputs'!AA10=""),"",'Fleet growth and revenue'!P5&lt;'Model inputs'!AA10))="",FALSE,IF(ISERROR('Fleet growth and revenue'!P5&lt;'Model inputs'!AA10),'Fleet growth and revenue'!P5&lt;'Model inputs'!AA10,IF(OR('Fleet growth and revenue'!P5="",'Model inputs'!AA10=""),"",'Fleet growth and revenue'!P5&lt;'Model inputs'!AA10))),0,ROUND(MAX(0,'Fleet growth and revenue'!P6-'Model inputs'!AA32)*'Model inputs'!AA13,0))</f>
        <v>7</v>
      </c>
      <c r="Q7" s="9">
        <f>IF(IF(IF(ISERROR('Fleet growth and revenue'!Q5&lt;'Model inputs'!AA10),'Fleet growth and revenue'!Q5&lt;'Model inputs'!AA10,IF(OR('Fleet growth and revenue'!Q5="",'Model inputs'!AA10=""),"",'Fleet growth and revenue'!Q5&lt;'Model inputs'!AA10))="",FALSE,IF(ISERROR('Fleet growth and revenue'!Q5&lt;'Model inputs'!AA10),'Fleet growth and revenue'!Q5&lt;'Model inputs'!AA10,IF(OR('Fleet growth and revenue'!Q5="",'Model inputs'!AA10=""),"",'Fleet growth and revenue'!Q5&lt;'Model inputs'!AA10))),0,ROUND(MAX(0,'Fleet growth and revenue'!Q6-'Model inputs'!AA32)*'Model inputs'!AA13,0))</f>
        <v>7</v>
      </c>
      <c r="R7" s="9">
        <f>IF(IF(IF(ISERROR('Fleet growth and revenue'!R5&lt;'Model inputs'!AA10),'Fleet growth and revenue'!R5&lt;'Model inputs'!AA10,IF(OR('Fleet growth and revenue'!R5="",'Model inputs'!AA10=""),"",'Fleet growth and revenue'!R5&lt;'Model inputs'!AA10))="",FALSE,IF(ISERROR('Fleet growth and revenue'!R5&lt;'Model inputs'!AA10),'Fleet growth and revenue'!R5&lt;'Model inputs'!AA10,IF(OR('Fleet growth and revenue'!R5="",'Model inputs'!AA10=""),"",'Fleet growth and revenue'!R5&lt;'Model inputs'!AA10))),0,ROUND(MAX(0,'Fleet growth and revenue'!R6-'Model inputs'!AA32)*'Model inputs'!AA13,0))</f>
        <v>8</v>
      </c>
      <c r="S7" s="9">
        <f>IF(IF(IF(ISERROR('Fleet growth and revenue'!S5&lt;'Model inputs'!AA10),'Fleet growth and revenue'!S5&lt;'Model inputs'!AA10,IF(OR('Fleet growth and revenue'!S5="",'Model inputs'!AA10=""),"",'Fleet growth and revenue'!S5&lt;'Model inputs'!AA10))="",FALSE,IF(ISERROR('Fleet growth and revenue'!S5&lt;'Model inputs'!AA10),'Fleet growth and revenue'!S5&lt;'Model inputs'!AA10,IF(OR('Fleet growth and revenue'!S5="",'Model inputs'!AA10=""),"",'Fleet growth and revenue'!S5&lt;'Model inputs'!AA10))),0,ROUND(MAX(0,'Fleet growth and revenue'!S6-'Model inputs'!AA32)*'Model inputs'!AA13,0))</f>
        <v>8</v>
      </c>
      <c r="T7" s="9">
        <f>IF(IF(IF(ISERROR('Fleet growth and revenue'!T5&lt;'Model inputs'!AA10),'Fleet growth and revenue'!T5&lt;'Model inputs'!AA10,IF(OR('Fleet growth and revenue'!T5="",'Model inputs'!AA10=""),"",'Fleet growth and revenue'!T5&lt;'Model inputs'!AA10))="",FALSE,IF(ISERROR('Fleet growth and revenue'!T5&lt;'Model inputs'!AA10),'Fleet growth and revenue'!T5&lt;'Model inputs'!AA10,IF(OR('Fleet growth and revenue'!T5="",'Model inputs'!AA10=""),"",'Fleet growth and revenue'!T5&lt;'Model inputs'!AA10))),0,ROUND(MAX(0,'Fleet growth and revenue'!T6-'Model inputs'!AA32)*'Model inputs'!AA13,0))</f>
        <v>9</v>
      </c>
      <c r="U7" s="9">
        <f>IF(IF(IF(ISERROR('Fleet growth and revenue'!U5&lt;'Model inputs'!AA10),'Fleet growth and revenue'!U5&lt;'Model inputs'!AA10,IF(OR('Fleet growth and revenue'!U5="",'Model inputs'!AA10=""),"",'Fleet growth and revenue'!U5&lt;'Model inputs'!AA10))="",FALSE,IF(ISERROR('Fleet growth and revenue'!U5&lt;'Model inputs'!AA10),'Fleet growth and revenue'!U5&lt;'Model inputs'!AA10,IF(OR('Fleet growth and revenue'!U5="",'Model inputs'!AA10=""),"",'Fleet growth and revenue'!U5&lt;'Model inputs'!AA10))),0,ROUND(MAX(0,'Fleet growth and revenue'!U6-'Model inputs'!AA32)*'Model inputs'!AA13,0))</f>
        <v>9</v>
      </c>
      <c r="V7" s="9">
        <f>IF(IF(IF(ISERROR('Fleet growth and revenue'!V5&lt;'Model inputs'!AA10),'Fleet growth and revenue'!V5&lt;'Model inputs'!AA10,IF(OR('Fleet growth and revenue'!V5="",'Model inputs'!AA10=""),"",'Fleet growth and revenue'!V5&lt;'Model inputs'!AA10))="",FALSE,IF(ISERROR('Fleet growth and revenue'!V5&lt;'Model inputs'!AA10),'Fleet growth and revenue'!V5&lt;'Model inputs'!AA10,IF(OR('Fleet growth and revenue'!V5="",'Model inputs'!AA10=""),"",'Fleet growth and revenue'!V5&lt;'Model inputs'!AA10))),0,ROUND(MAX(0,'Fleet growth and revenue'!V6-'Model inputs'!AA32)*'Model inputs'!AA13,0))</f>
        <v>10</v>
      </c>
      <c r="W7" s="9">
        <f>IF(IF(IF(ISERROR('Fleet growth and revenue'!W5&lt;'Model inputs'!AA10),'Fleet growth and revenue'!W5&lt;'Model inputs'!AA10,IF(OR('Fleet growth and revenue'!W5="",'Model inputs'!AA10=""),"",'Fleet growth and revenue'!W5&lt;'Model inputs'!AA10))="",FALSE,IF(ISERROR('Fleet growth and revenue'!W5&lt;'Model inputs'!AA10),'Fleet growth and revenue'!W5&lt;'Model inputs'!AA10,IF(OR('Fleet growth and revenue'!W5="",'Model inputs'!AA10=""),"",'Fleet growth and revenue'!W5&lt;'Model inputs'!AA10))),0,ROUND(MAX(0,'Fleet growth and revenue'!W6-'Model inputs'!AA32)*'Model inputs'!AA13,0))</f>
        <v>10</v>
      </c>
      <c r="X7" s="9">
        <f>IF(IF(IF(ISERROR('Fleet growth and revenue'!X5&lt;'Model inputs'!AA10),'Fleet growth and revenue'!X5&lt;'Model inputs'!AA10,IF(OR('Fleet growth and revenue'!X5="",'Model inputs'!AA10=""),"",'Fleet growth and revenue'!X5&lt;'Model inputs'!AA10))="",FALSE,IF(ISERROR('Fleet growth and revenue'!X5&lt;'Model inputs'!AA10),'Fleet growth and revenue'!X5&lt;'Model inputs'!AA10,IF(OR('Fleet growth and revenue'!X5="",'Model inputs'!AA10=""),"",'Fleet growth and revenue'!X5&lt;'Model inputs'!AA10))),0,ROUND(MAX(0,'Fleet growth and revenue'!X6-'Model inputs'!AA32)*'Model inputs'!AA13,0))</f>
        <v>11</v>
      </c>
      <c r="Y7" s="9">
        <f>IF(IF(IF(ISERROR('Fleet growth and revenue'!Y5&lt;'Model inputs'!AA10),'Fleet growth and revenue'!Y5&lt;'Model inputs'!AA10,IF(OR('Fleet growth and revenue'!Y5="",'Model inputs'!AA10=""),"",'Fleet growth and revenue'!Y5&lt;'Model inputs'!AA10))="",FALSE,IF(ISERROR('Fleet growth and revenue'!Y5&lt;'Model inputs'!AA10),'Fleet growth and revenue'!Y5&lt;'Model inputs'!AA10,IF(OR('Fleet growth and revenue'!Y5="",'Model inputs'!AA10=""),"",'Fleet growth and revenue'!Y5&lt;'Model inputs'!AA10))),0,ROUND(MAX(0,'Fleet growth and revenue'!Y6-'Model inputs'!AA32)*'Model inputs'!AA13,0))</f>
        <v>11</v>
      </c>
    </row>
    <row r="8">
      <c r="A8" t="inlineStr" s="6">
        <is>
          <t xml:space="preserve">Active fleets</t>
        </is>
      </c>
      <c r="B8" s="7">
        <f>SUM('Fleet growth and revenue'!B9,'Fleet growth and revenue'!B10)</f>
        <v>0</v>
      </c>
      <c r="C8" s="7">
        <f>SUM('Fleet growth and revenue'!C9,'Fleet growth and revenue'!C10)</f>
        <v>0</v>
      </c>
      <c r="D8" s="7">
        <f>SUM('Fleet growth and revenue'!D9,'Fleet growth and revenue'!D10)</f>
        <v>3</v>
      </c>
      <c r="E8" s="7">
        <f>SUM('Fleet growth and revenue'!E9,'Fleet growth and revenue'!E10)</f>
        <v>6</v>
      </c>
      <c r="F8" s="7">
        <f>SUM('Fleet growth and revenue'!F9,'Fleet growth and revenue'!F10)</f>
        <v>8</v>
      </c>
      <c r="G8" s="7">
        <f>SUM('Fleet growth and revenue'!G9,'Fleet growth and revenue'!G10)</f>
        <v>11</v>
      </c>
      <c r="H8" s="7">
        <f>SUM('Fleet growth and revenue'!H9,'Fleet growth and revenue'!H10)</f>
        <v>14</v>
      </c>
      <c r="I8" s="7">
        <f>SUM('Fleet growth and revenue'!I9,'Fleet growth and revenue'!I10)</f>
        <v>17</v>
      </c>
      <c r="J8" s="7">
        <f>SUM('Fleet growth and revenue'!J9,'Fleet growth and revenue'!J10)</f>
        <v>19</v>
      </c>
      <c r="K8" s="7">
        <f>SUM('Fleet growth and revenue'!K9,'Fleet growth and revenue'!K10)</f>
        <v>22</v>
      </c>
      <c r="L8" s="7">
        <f>SUM('Fleet growth and revenue'!L9,'Fleet growth and revenue'!L10)</f>
        <v>25</v>
      </c>
      <c r="M8" s="7">
        <f>SUM('Fleet growth and revenue'!M9,'Fleet growth and revenue'!M10)</f>
        <v>27</v>
      </c>
      <c r="N8" s="7">
        <f>SUM('Fleet growth and revenue'!N9,'Fleet growth and revenue'!N10)</f>
        <v>30</v>
      </c>
      <c r="O8" s="7">
        <f>SUM('Fleet growth and revenue'!O9,'Fleet growth and revenue'!O10)</f>
        <v>33</v>
      </c>
      <c r="P8" s="7">
        <f>SUM('Fleet growth and revenue'!P9,'Fleet growth and revenue'!P10)</f>
        <v>36</v>
      </c>
      <c r="Q8" s="7">
        <f>SUM('Fleet growth and revenue'!Q9,'Fleet growth and revenue'!Q10)</f>
        <v>38</v>
      </c>
      <c r="R8" s="7">
        <f>SUM('Fleet growth and revenue'!R9,'Fleet growth and revenue'!R10)</f>
        <v>41</v>
      </c>
      <c r="S8" s="7">
        <f>SUM('Fleet growth and revenue'!S9,'Fleet growth and revenue'!S10)</f>
        <v>44</v>
      </c>
      <c r="T8" s="7">
        <f>SUM('Fleet growth and revenue'!T9,'Fleet growth and revenue'!T10)</f>
        <v>46</v>
      </c>
      <c r="U8" s="7">
        <f>SUM('Fleet growth and revenue'!U9,'Fleet growth and revenue'!U10)</f>
        <v>49</v>
      </c>
      <c r="V8" s="7">
        <f>SUM('Fleet growth and revenue'!V9,'Fleet growth and revenue'!V10)</f>
        <v>52</v>
      </c>
      <c r="W8" s="7">
        <f>SUM('Fleet growth and revenue'!W9,'Fleet growth and revenue'!W10)</f>
        <v>55</v>
      </c>
      <c r="X8" s="7">
        <f>SUM('Fleet growth and revenue'!X9,'Fleet growth and revenue'!X10)</f>
        <v>57</v>
      </c>
      <c r="Y8" s="7">
        <f>SUM('Fleet growth and revenue'!Y9,'Fleet growth and revenue'!Y10)</f>
        <v>60</v>
      </c>
    </row>
    <row r="9" outlineLevel="1">
      <c r="A9" t="inlineStr" s="10">
        <is>
          <t xml:space="preserve">30-van fleets</t>
        </is>
      </c>
      <c r="B9" s="9">
        <f>IF(EXACT("30-van fleets","80-van fleets"),IF('Fleet growth and revenue'!B7="","",'Fleet growth and revenue'!B7),'Fleet growth and revenue'!B6-'Fleet growth and revenue'!B7)</f>
        <v>0</v>
      </c>
      <c r="C9" s="9">
        <f>IF(EXACT("30-van fleets","80-van fleets"),IF('Fleet growth and revenue'!C7="","",'Fleet growth and revenue'!C7),'Fleet growth and revenue'!C6-'Fleet growth and revenue'!C7)</f>
        <v>0</v>
      </c>
      <c r="D9" s="9">
        <f>IF(EXACT("30-van fleets","80-van fleets"),IF('Fleet growth and revenue'!D7="","",'Fleet growth and revenue'!D7),'Fleet growth and revenue'!D6-'Fleet growth and revenue'!D7)</f>
        <v>3</v>
      </c>
      <c r="E9" s="9">
        <f>IF(EXACT("30-van fleets","80-van fleets"),IF('Fleet growth and revenue'!E7="","",'Fleet growth and revenue'!E7),'Fleet growth and revenue'!E6-'Fleet growth and revenue'!E7)</f>
        <v>6</v>
      </c>
      <c r="F9" s="9">
        <f>IF(EXACT("30-van fleets","80-van fleets"),IF('Fleet growth and revenue'!F7="","",'Fleet growth and revenue'!F7),'Fleet growth and revenue'!F6-'Fleet growth and revenue'!F7)</f>
        <v>8</v>
      </c>
      <c r="G9" s="9">
        <f>IF(EXACT("30-van fleets","80-van fleets"),IF('Fleet growth and revenue'!G7="","",'Fleet growth and revenue'!G7),'Fleet growth and revenue'!G6-'Fleet growth and revenue'!G7)</f>
        <v>9</v>
      </c>
      <c r="H9" s="9">
        <f>IF(EXACT("30-van fleets","80-van fleets"),IF('Fleet growth and revenue'!H7="","",'Fleet growth and revenue'!H7),'Fleet growth and revenue'!H6-'Fleet growth and revenue'!H7)</f>
        <v>12</v>
      </c>
      <c r="I9" s="9">
        <f>IF(EXACT("30-van fleets","80-van fleets"),IF('Fleet growth and revenue'!I7="","",'Fleet growth and revenue'!I7),'Fleet growth and revenue'!I6-'Fleet growth and revenue'!I7)</f>
        <v>14</v>
      </c>
      <c r="J9" s="9">
        <f>IF(EXACT("30-van fleets","80-van fleets"),IF('Fleet growth and revenue'!J7="","",'Fleet growth and revenue'!J7),'Fleet growth and revenue'!J6-'Fleet growth and revenue'!J7)</f>
        <v>16</v>
      </c>
      <c r="K9" s="9">
        <f>IF(EXACT("30-van fleets","80-van fleets"),IF('Fleet growth and revenue'!K7="","",'Fleet growth and revenue'!K7),'Fleet growth and revenue'!K6-'Fleet growth and revenue'!K7)</f>
        <v>18</v>
      </c>
      <c r="L9" s="9">
        <f>IF(EXACT("30-van fleets","80-van fleets"),IF('Fleet growth and revenue'!L7="","",'Fleet growth and revenue'!L7),'Fleet growth and revenue'!L6-'Fleet growth and revenue'!L7)</f>
        <v>21</v>
      </c>
      <c r="M9" s="9">
        <f>IF(EXACT("30-van fleets","80-van fleets"),IF('Fleet growth and revenue'!M7="","",'Fleet growth and revenue'!M7),'Fleet growth and revenue'!M6-'Fleet growth and revenue'!M7)</f>
        <v>22</v>
      </c>
      <c r="N9" s="9">
        <f>IF(EXACT("30-van fleets","80-van fleets"),IF('Fleet growth and revenue'!N7="","",'Fleet growth and revenue'!N7),'Fleet growth and revenue'!N6-'Fleet growth and revenue'!N7)</f>
        <v>25</v>
      </c>
      <c r="O9" s="9">
        <f>IF(EXACT("30-van fleets","80-van fleets"),IF('Fleet growth and revenue'!O7="","",'Fleet growth and revenue'!O7),'Fleet growth and revenue'!O6-'Fleet growth and revenue'!O7)</f>
        <v>27</v>
      </c>
      <c r="P9" s="9">
        <f>IF(EXACT("30-van fleets","80-van fleets"),IF('Fleet growth and revenue'!P7="","",'Fleet growth and revenue'!P7),'Fleet growth and revenue'!P6-'Fleet growth and revenue'!P7)</f>
        <v>29</v>
      </c>
      <c r="Q9" s="9">
        <f>IF(EXACT("30-van fleets","80-van fleets"),IF('Fleet growth and revenue'!Q7="","",'Fleet growth and revenue'!Q7),'Fleet growth and revenue'!Q6-'Fleet growth and revenue'!Q7)</f>
        <v>31</v>
      </c>
      <c r="R9" s="9">
        <f>IF(EXACT("30-van fleets","80-van fleets"),IF('Fleet growth and revenue'!R7="","",'Fleet growth and revenue'!R7),'Fleet growth and revenue'!R6-'Fleet growth and revenue'!R7)</f>
        <v>33</v>
      </c>
      <c r="S9" s="9">
        <f>IF(EXACT("30-van fleets","80-van fleets"),IF('Fleet growth and revenue'!S7="","",'Fleet growth and revenue'!S7),'Fleet growth and revenue'!S6-'Fleet growth and revenue'!S7)</f>
        <v>36</v>
      </c>
      <c r="T9" s="9">
        <f>IF(EXACT("30-van fleets","80-van fleets"),IF('Fleet growth and revenue'!T7="","",'Fleet growth and revenue'!T7),'Fleet growth and revenue'!T6-'Fleet growth and revenue'!T7)</f>
        <v>37</v>
      </c>
      <c r="U9" s="9">
        <f>IF(EXACT("30-van fleets","80-van fleets"),IF('Fleet growth and revenue'!U7="","",'Fleet growth and revenue'!U7),'Fleet growth and revenue'!U6-'Fleet growth and revenue'!U7)</f>
        <v>40</v>
      </c>
      <c r="V9" s="9">
        <f>IF(EXACT("30-van fleets","80-van fleets"),IF('Fleet growth and revenue'!V7="","",'Fleet growth and revenue'!V7),'Fleet growth and revenue'!V6-'Fleet growth and revenue'!V7)</f>
        <v>42</v>
      </c>
      <c r="W9" s="9">
        <f>IF(EXACT("30-van fleets","80-van fleets"),IF('Fleet growth and revenue'!W7="","",'Fleet growth and revenue'!W7),'Fleet growth and revenue'!W6-'Fleet growth and revenue'!W7)</f>
        <v>45</v>
      </c>
      <c r="X9" s="9">
        <f>IF(EXACT("30-van fleets","80-van fleets"),IF('Fleet growth and revenue'!X7="","",'Fleet growth and revenue'!X7),'Fleet growth and revenue'!X6-'Fleet growth and revenue'!X7)</f>
        <v>46</v>
      </c>
      <c r="Y9" s="9">
        <f>IF(EXACT("30-van fleets","80-van fleets"),IF('Fleet growth and revenue'!Y7="","",'Fleet growth and revenue'!Y7),'Fleet growth and revenue'!Y6-'Fleet growth and revenue'!Y7)</f>
        <v>49</v>
      </c>
    </row>
    <row r="10" outlineLevel="1">
      <c r="A10" t="inlineStr" s="10">
        <is>
          <t xml:space="preserve">80-van fleets</t>
        </is>
      </c>
      <c r="B10" s="9">
        <f>IF(EXACT("80-van fleets","80-van fleets"),IF('Fleet growth and revenue'!B7="","",'Fleet growth and revenue'!B7),'Fleet growth and revenue'!B6-'Fleet growth and revenue'!B7)</f>
        <v>0</v>
      </c>
      <c r="C10" s="9">
        <f>IF(EXACT("80-van fleets","80-van fleets"),IF('Fleet growth and revenue'!C7="","",'Fleet growth and revenue'!C7),'Fleet growth and revenue'!C6-'Fleet growth and revenue'!C7)</f>
        <v>0</v>
      </c>
      <c r="D10" s="9">
        <f>IF(EXACT("80-van fleets","80-van fleets"),IF('Fleet growth and revenue'!D7="","",'Fleet growth and revenue'!D7),'Fleet growth and revenue'!D6-'Fleet growth and revenue'!D7)</f>
        <v>0</v>
      </c>
      <c r="E10" s="9">
        <f>IF(EXACT("80-van fleets","80-van fleets"),IF('Fleet growth and revenue'!E7="","",'Fleet growth and revenue'!E7),'Fleet growth and revenue'!E6-'Fleet growth and revenue'!E7)</f>
        <v>0</v>
      </c>
      <c r="F10" s="9">
        <f>IF(EXACT("80-van fleets","80-van fleets"),IF('Fleet growth and revenue'!F7="","",'Fleet growth and revenue'!F7),'Fleet growth and revenue'!F6-'Fleet growth and revenue'!F7)</f>
        <v>0</v>
      </c>
      <c r="G10" s="9">
        <f>IF(EXACT("80-van fleets","80-van fleets"),IF('Fleet growth and revenue'!G7="","",'Fleet growth and revenue'!G7),'Fleet growth and revenue'!G6-'Fleet growth and revenue'!G7)</f>
        <v>2</v>
      </c>
      <c r="H10" s="9">
        <f>IF(EXACT("80-van fleets","80-van fleets"),IF('Fleet growth and revenue'!H7="","",'Fleet growth and revenue'!H7),'Fleet growth and revenue'!H6-'Fleet growth and revenue'!H7)</f>
        <v>2</v>
      </c>
      <c r="I10" s="9">
        <f>IF(EXACT("80-van fleets","80-van fleets"),IF('Fleet growth and revenue'!I7="","",'Fleet growth and revenue'!I7),'Fleet growth and revenue'!I6-'Fleet growth and revenue'!I7)</f>
        <v>3</v>
      </c>
      <c r="J10" s="9">
        <f>IF(EXACT("80-van fleets","80-van fleets"),IF('Fleet growth and revenue'!J7="","",'Fleet growth and revenue'!J7),'Fleet growth and revenue'!J6-'Fleet growth and revenue'!J7)</f>
        <v>3</v>
      </c>
      <c r="K10" s="9">
        <f>IF(EXACT("80-van fleets","80-van fleets"),IF('Fleet growth and revenue'!K7="","",'Fleet growth and revenue'!K7),'Fleet growth and revenue'!K6-'Fleet growth and revenue'!K7)</f>
        <v>4</v>
      </c>
      <c r="L10" s="9">
        <f>IF(EXACT("80-van fleets","80-van fleets"),IF('Fleet growth and revenue'!L7="","",'Fleet growth and revenue'!L7),'Fleet growth and revenue'!L6-'Fleet growth and revenue'!L7)</f>
        <v>4</v>
      </c>
      <c r="M10" s="9">
        <f>IF(EXACT("80-van fleets","80-van fleets"),IF('Fleet growth and revenue'!M7="","",'Fleet growth and revenue'!M7),'Fleet growth and revenue'!M6-'Fleet growth and revenue'!M7)</f>
        <v>5</v>
      </c>
      <c r="N10" s="9">
        <f>IF(EXACT("80-van fleets","80-van fleets"),IF('Fleet growth and revenue'!N7="","",'Fleet growth and revenue'!N7),'Fleet growth and revenue'!N6-'Fleet growth and revenue'!N7)</f>
        <v>5</v>
      </c>
      <c r="O10" s="9">
        <f>IF(EXACT("80-van fleets","80-van fleets"),IF('Fleet growth and revenue'!O7="","",'Fleet growth and revenue'!O7),'Fleet growth and revenue'!O6-'Fleet growth and revenue'!O7)</f>
        <v>6</v>
      </c>
      <c r="P10" s="9">
        <f>IF(EXACT("80-van fleets","80-van fleets"),IF('Fleet growth and revenue'!P7="","",'Fleet growth and revenue'!P7),'Fleet growth and revenue'!P6-'Fleet growth and revenue'!P7)</f>
        <v>7</v>
      </c>
      <c r="Q10" s="9">
        <f>IF(EXACT("80-van fleets","80-van fleets"),IF('Fleet growth and revenue'!Q7="","",'Fleet growth and revenue'!Q7),'Fleet growth and revenue'!Q6-'Fleet growth and revenue'!Q7)</f>
        <v>7</v>
      </c>
      <c r="R10" s="9">
        <f>IF(EXACT("80-van fleets","80-van fleets"),IF('Fleet growth and revenue'!R7="","",'Fleet growth and revenue'!R7),'Fleet growth and revenue'!R6-'Fleet growth and revenue'!R7)</f>
        <v>8</v>
      </c>
      <c r="S10" s="9">
        <f>IF(EXACT("80-van fleets","80-van fleets"),IF('Fleet growth and revenue'!S7="","",'Fleet growth and revenue'!S7),'Fleet growth and revenue'!S6-'Fleet growth and revenue'!S7)</f>
        <v>8</v>
      </c>
      <c r="T10" s="9">
        <f>IF(EXACT("80-van fleets","80-van fleets"),IF('Fleet growth and revenue'!T7="","",'Fleet growth and revenue'!T7),'Fleet growth and revenue'!T6-'Fleet growth and revenue'!T7)</f>
        <v>9</v>
      </c>
      <c r="U10" s="9">
        <f>IF(EXACT("80-van fleets","80-van fleets"),IF('Fleet growth and revenue'!U7="","",'Fleet growth and revenue'!U7),'Fleet growth and revenue'!U6-'Fleet growth and revenue'!U7)</f>
        <v>9</v>
      </c>
      <c r="V10" s="9">
        <f>IF(EXACT("80-van fleets","80-van fleets"),IF('Fleet growth and revenue'!V7="","",'Fleet growth and revenue'!V7),'Fleet growth and revenue'!V6-'Fleet growth and revenue'!V7)</f>
        <v>10</v>
      </c>
      <c r="W10" s="9">
        <f>IF(EXACT("80-van fleets","80-van fleets"),IF('Fleet growth and revenue'!W7="","",'Fleet growth and revenue'!W7),'Fleet growth and revenue'!W6-'Fleet growth and revenue'!W7)</f>
        <v>10</v>
      </c>
      <c r="X10" s="9">
        <f>IF(EXACT("80-van fleets","80-van fleets"),IF('Fleet growth and revenue'!X7="","",'Fleet growth and revenue'!X7),'Fleet growth and revenue'!X6-'Fleet growth and revenue'!X7)</f>
        <v>11</v>
      </c>
      <c r="Y10" s="9">
        <f>IF(EXACT("80-van fleets","80-van fleets"),IF('Fleet growth and revenue'!Y7="","",'Fleet growth and revenue'!Y7),'Fleet growth and revenue'!Y6-'Fleet growth and revenue'!Y7)</f>
        <v>11</v>
      </c>
    </row>
    <row r="11">
      <c r="A11" t="inlineStr" s="6">
        <is>
          <t xml:space="preserve">Active vans</t>
        </is>
      </c>
      <c r="B11" s="7">
        <f>SUM('Fleet growth and revenue'!B12,'Fleet growth and revenue'!B13)</f>
        <v>0</v>
      </c>
      <c r="C11" s="7">
        <f>SUM('Fleet growth and revenue'!C12,'Fleet growth and revenue'!C13)</f>
        <v>0</v>
      </c>
      <c r="D11" s="7">
        <f>SUM('Fleet growth and revenue'!D12,'Fleet growth and revenue'!D13)</f>
        <v>90</v>
      </c>
      <c r="E11" s="7">
        <f>SUM('Fleet growth and revenue'!E12,'Fleet growth and revenue'!E13)</f>
        <v>180</v>
      </c>
      <c r="F11" s="7">
        <f>SUM('Fleet growth and revenue'!F12,'Fleet growth and revenue'!F13)</f>
        <v>240</v>
      </c>
      <c r="G11" s="7">
        <f>SUM('Fleet growth and revenue'!G12,'Fleet growth and revenue'!G13)</f>
        <v>430</v>
      </c>
      <c r="H11" s="7">
        <f>SUM('Fleet growth and revenue'!H12,'Fleet growth and revenue'!H13)</f>
        <v>520</v>
      </c>
      <c r="I11" s="7">
        <f>SUM('Fleet growth and revenue'!I12,'Fleet growth and revenue'!I13)</f>
        <v>660</v>
      </c>
      <c r="J11" s="7">
        <f>SUM('Fleet growth and revenue'!J12,'Fleet growth and revenue'!J13)</f>
        <v>720</v>
      </c>
      <c r="K11" s="7">
        <f>SUM('Fleet growth and revenue'!K12,'Fleet growth and revenue'!K13)</f>
        <v>860</v>
      </c>
      <c r="L11" s="7">
        <f>SUM('Fleet growth and revenue'!L12,'Fleet growth and revenue'!L13)</f>
        <v>950</v>
      </c>
      <c r="M11" s="7">
        <f>SUM('Fleet growth and revenue'!M12,'Fleet growth and revenue'!M13)</f>
        <v>1060</v>
      </c>
      <c r="N11" s="7">
        <f>SUM('Fleet growth and revenue'!N12,'Fleet growth and revenue'!N13)</f>
        <v>1150</v>
      </c>
      <c r="O11" s="7">
        <f>SUM('Fleet growth and revenue'!O12,'Fleet growth and revenue'!O13)</f>
        <v>1290</v>
      </c>
      <c r="P11" s="7">
        <f>SUM('Fleet growth and revenue'!P12,'Fleet growth and revenue'!P13)</f>
        <v>1430</v>
      </c>
      <c r="Q11" s="7">
        <f>SUM('Fleet growth and revenue'!Q12,'Fleet growth and revenue'!Q13)</f>
        <v>1490</v>
      </c>
      <c r="R11" s="7">
        <f>SUM('Fleet growth and revenue'!R12,'Fleet growth and revenue'!R13)</f>
        <v>1630</v>
      </c>
      <c r="S11" s="7">
        <f>SUM('Fleet growth and revenue'!S12,'Fleet growth and revenue'!S13)</f>
        <v>1720</v>
      </c>
      <c r="T11" s="7">
        <f>SUM('Fleet growth and revenue'!T12,'Fleet growth and revenue'!T13)</f>
        <v>1830</v>
      </c>
      <c r="U11" s="7">
        <f>SUM('Fleet growth and revenue'!U12,'Fleet growth and revenue'!U13)</f>
        <v>1920</v>
      </c>
      <c r="V11" s="7">
        <f>SUM('Fleet growth and revenue'!V12,'Fleet growth and revenue'!V13)</f>
        <v>2060</v>
      </c>
      <c r="W11" s="7">
        <f>SUM('Fleet growth and revenue'!W12,'Fleet growth and revenue'!W13)</f>
        <v>2150</v>
      </c>
      <c r="X11" s="7">
        <f>SUM('Fleet growth and revenue'!X12,'Fleet growth and revenue'!X13)</f>
        <v>2260</v>
      </c>
      <c r="Y11" s="7">
        <f>SUM('Fleet growth and revenue'!Y12,'Fleet growth and revenue'!Y13)</f>
        <v>2350</v>
      </c>
    </row>
    <row r="12" outlineLevel="1">
      <c r="A12" t="inlineStr" s="10">
        <is>
          <t xml:space="preserve">30-van fleets</t>
        </is>
      </c>
      <c r="B12" s="9">
        <f>'Fleet growth and revenue'!B9*IF(IF(EXACT("30-van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0</v>
      </c>
      <c r="C12" s="9">
        <f>'Fleet growth and revenue'!C9*IF(IF(EXACT("30-van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0</v>
      </c>
      <c r="D12" s="9">
        <f>'Fleet growth and revenue'!D9*IF(IF(EXACT("30-van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90</v>
      </c>
      <c r="E12" s="9">
        <f>'Fleet growth and revenue'!E9*IF(IF(EXACT("30-van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180</v>
      </c>
      <c r="F12" s="9">
        <f>'Fleet growth and revenue'!F9*IF(IF(EXACT("30-van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240</v>
      </c>
      <c r="G12" s="9">
        <f>'Fleet growth and revenue'!G9*IF(IF(EXACT("30-van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270</v>
      </c>
      <c r="H12" s="9">
        <f>'Fleet growth and revenue'!H9*IF(IF(EXACT("30-van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360</v>
      </c>
      <c r="I12" s="9">
        <f>'Fleet growth and revenue'!I9*IF(IF(EXACT("30-van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420</v>
      </c>
      <c r="J12" s="9">
        <f>'Fleet growth and revenue'!J9*IF(IF(EXACT("30-van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480</v>
      </c>
      <c r="K12" s="9">
        <f>'Fleet growth and revenue'!K9*IF(IF(EXACT("30-van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540</v>
      </c>
      <c r="L12" s="9">
        <f>'Fleet growth and revenue'!L9*IF(IF(EXACT("30-van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630</v>
      </c>
      <c r="M12" s="9">
        <f>'Fleet growth and revenue'!M9*IF(IF(EXACT("30-van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660</v>
      </c>
      <c r="N12" s="9">
        <f>'Fleet growth and revenue'!N9*IF(IF(EXACT("30-van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750</v>
      </c>
      <c r="O12" s="9">
        <f>'Fleet growth and revenue'!O9*IF(IF(EXACT("30-van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810</v>
      </c>
      <c r="P12" s="9">
        <f>'Fleet growth and revenue'!P9*IF(IF(EXACT("30-van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870</v>
      </c>
      <c r="Q12" s="9">
        <f>'Fleet growth and revenue'!Q9*IF(IF(EXACT("30-van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930</v>
      </c>
      <c r="R12" s="9">
        <f>'Fleet growth and revenue'!R9*IF(IF(EXACT("30-van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990</v>
      </c>
      <c r="S12" s="9">
        <f>'Fleet growth and revenue'!S9*IF(IF(EXACT("30-van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1080</v>
      </c>
      <c r="T12" s="9">
        <f>'Fleet growth and revenue'!T9*IF(IF(EXACT("30-van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1110</v>
      </c>
      <c r="U12" s="9">
        <f>'Fleet growth and revenue'!U9*IF(IF(EXACT("30-van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1200</v>
      </c>
      <c r="V12" s="9">
        <f>'Fleet growth and revenue'!V9*IF(IF(EXACT("30-van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1260</v>
      </c>
      <c r="W12" s="9">
        <f>'Fleet growth and revenue'!W9*IF(IF(EXACT("30-van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1350</v>
      </c>
      <c r="X12" s="9">
        <f>'Fleet growth and revenue'!X9*IF(IF(EXACT("30-van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1380</v>
      </c>
      <c r="Y12" s="9">
        <f>'Fleet growth and revenue'!Y9*IF(IF(EXACT("30-van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1470</v>
      </c>
    </row>
    <row r="13" outlineLevel="1">
      <c r="A13" t="inlineStr" s="10">
        <is>
          <t xml:space="preserve">80-van fleets</t>
        </is>
      </c>
      <c r="B13" s="9">
        <f>'Fleet growth and revenue'!B10*IF(IF(EXACT("80-van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C13" s="9">
        <f>'Fleet growth and revenue'!C10*IF(IF(EXACT("80-van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D13" s="9">
        <f>'Fleet growth and revenue'!D10*IF(IF(EXACT("80-van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E13" s="9">
        <f>'Fleet growth and revenue'!E10*IF(IF(EXACT("80-van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F13" s="9">
        <f>'Fleet growth and revenue'!F10*IF(IF(EXACT("80-van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G13" s="9">
        <f>'Fleet growth and revenue'!G10*IF(IF(EXACT("80-van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160</v>
      </c>
      <c r="H13" s="9">
        <f>'Fleet growth and revenue'!H10*IF(IF(EXACT("80-van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160</v>
      </c>
      <c r="I13" s="9">
        <f>'Fleet growth and revenue'!I10*IF(IF(EXACT("80-van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240</v>
      </c>
      <c r="J13" s="9">
        <f>'Fleet growth and revenue'!J10*IF(IF(EXACT("80-van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240</v>
      </c>
      <c r="K13" s="9">
        <f>'Fleet growth and revenue'!K10*IF(IF(EXACT("80-van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320</v>
      </c>
      <c r="L13" s="9">
        <f>'Fleet growth and revenue'!L10*IF(IF(EXACT("80-van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320</v>
      </c>
      <c r="M13" s="9">
        <f>'Fleet growth and revenue'!M10*IF(IF(EXACT("80-van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400</v>
      </c>
      <c r="N13" s="9">
        <f>'Fleet growth and revenue'!N10*IF(IF(EXACT("80-van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400</v>
      </c>
      <c r="O13" s="9">
        <f>'Fleet growth and revenue'!O10*IF(IF(EXACT("80-van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480</v>
      </c>
      <c r="P13" s="9">
        <f>'Fleet growth and revenue'!P10*IF(IF(EXACT("80-van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560</v>
      </c>
      <c r="Q13" s="9">
        <f>'Fleet growth and revenue'!Q10*IF(IF(EXACT("80-van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560</v>
      </c>
      <c r="R13" s="9">
        <f>'Fleet growth and revenue'!R10*IF(IF(EXACT("80-van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640</v>
      </c>
      <c r="S13" s="9">
        <f>'Fleet growth and revenue'!S10*IF(IF(EXACT("80-van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640</v>
      </c>
      <c r="T13" s="9">
        <f>'Fleet growth and revenue'!T10*IF(IF(EXACT("80-van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720</v>
      </c>
      <c r="U13" s="9">
        <f>'Fleet growth and revenue'!U10*IF(IF(EXACT("80-van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720</v>
      </c>
      <c r="V13" s="9">
        <f>'Fleet growth and revenue'!V10*IF(IF(EXACT("80-van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800</v>
      </c>
      <c r="W13" s="9">
        <f>'Fleet growth and revenue'!W10*IF(IF(EXACT("80-van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800</v>
      </c>
      <c r="X13" s="9">
        <f>'Fleet growth and revenue'!X10*IF(IF(EXACT("80-van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880</v>
      </c>
      <c r="Y13" s="9">
        <f>'Fleet growth and revenue'!Y10*IF(IF(EXACT("80-van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880</v>
      </c>
    </row>
    <row r="14">
      <c r="A14" t="inlineStr" s="8">
        <is>
          <t xml:space="preserve">Churned fleets</t>
        </is>
      </c>
      <c r="B14" s="9">
        <f>IF(IF(IF(ISERROR('Fleet growth and revenue'!B5=1),'Fleet growth and revenue'!B5=1,IF('Fleet growth and revenue'!B5="","",'Fleet growth and revenue'!B5=1))="",FALSE,IF(ISERROR('Fleet growth and revenue'!B5=1),'Fleet growth and revenue'!B5=1,IF('Fleet growth and revenue'!B5="","",'Fleet growth and revenue'!B5=1))),0,'Model inputs'!B6*'Model inputs'!AA20)</f>
        <v>0</v>
      </c>
      <c r="C14" s="9">
        <f>IF(IF(IF(ISERROR('Fleet growth and revenue'!C5=1),'Fleet growth and revenue'!C5=1,IF('Fleet growth and revenue'!C5="","",'Fleet growth and revenue'!C5=1))="",FALSE,IF(ISERROR('Fleet growth and revenue'!C5=1),'Fleet growth and revenue'!C5=1,IF('Fleet growth and revenue'!C5="","",'Fleet growth and revenue'!C5=1))),0,'Fleet growth and revenue'!B6*'Model inputs'!AA20)</f>
        <v>0</v>
      </c>
      <c r="D14" s="9">
        <f>IF(IF(IF(ISERROR('Fleet growth and revenue'!D5=1),'Fleet growth and revenue'!D5=1,IF('Fleet growth and revenue'!D5="","",'Fleet growth and revenue'!D5=1))="",FALSE,IF(ISERROR('Fleet growth and revenue'!D5=1),'Fleet growth and revenue'!D5=1,IF('Fleet growth and revenue'!D5="","",'Fleet growth and revenue'!D5=1))),0,'Fleet growth and revenue'!C6*'Model inputs'!AA20)</f>
        <v>0</v>
      </c>
      <c r="E14" s="9">
        <f>IF(IF(IF(ISERROR('Fleet growth and revenue'!E5=1),'Fleet growth and revenue'!E5=1,IF('Fleet growth and revenue'!E5="","",'Fleet growth and revenue'!E5=1))="",FALSE,IF(ISERROR('Fleet growth and revenue'!E5=1),'Fleet growth and revenue'!E5=1,IF('Fleet growth and revenue'!E5="","",'Fleet growth and revenue'!E5=1))),0,'Fleet growth and revenue'!D6*'Model inputs'!AA20)</f>
        <v>0.03</v>
      </c>
      <c r="F14" s="9">
        <f>IF(IF(IF(ISERROR('Fleet growth and revenue'!F5=1),'Fleet growth and revenue'!F5=1,IF('Fleet growth and revenue'!F5="","",'Fleet growth and revenue'!F5=1))="",FALSE,IF(ISERROR('Fleet growth and revenue'!F5=1),'Fleet growth and revenue'!F5=1,IF('Fleet growth and revenue'!F5="","",'Fleet growth and revenue'!F5=1))),0,'Fleet growth and revenue'!E6*'Model inputs'!AA20)</f>
        <v>0.06</v>
      </c>
      <c r="G14" s="9">
        <f>IF(IF(IF(ISERROR('Fleet growth and revenue'!G5=1),'Fleet growth and revenue'!G5=1,IF('Fleet growth and revenue'!G5="","",'Fleet growth and revenue'!G5=1))="",FALSE,IF(ISERROR('Fleet growth and revenue'!G5=1),'Fleet growth and revenue'!G5=1,IF('Fleet growth and revenue'!G5="","",'Fleet growth and revenue'!G5=1))),0,'Fleet growth and revenue'!F6*'Model inputs'!AA20)</f>
        <v>0.08</v>
      </c>
      <c r="H14" s="9">
        <f>IF(IF(IF(ISERROR('Fleet growth and revenue'!H5=1),'Fleet growth and revenue'!H5=1,IF('Fleet growth and revenue'!H5="","",'Fleet growth and revenue'!H5=1))="",FALSE,IF(ISERROR('Fleet growth and revenue'!H5=1),'Fleet growth and revenue'!H5=1,IF('Fleet growth and revenue'!H5="","",'Fleet growth and revenue'!H5=1))),0,'Fleet growth and revenue'!G6*'Model inputs'!AA20)</f>
        <v>0.11</v>
      </c>
      <c r="I14" s="9">
        <f>IF(IF(IF(ISERROR('Fleet growth and revenue'!I5=1),'Fleet growth and revenue'!I5=1,IF('Fleet growth and revenue'!I5="","",'Fleet growth and revenue'!I5=1))="",FALSE,IF(ISERROR('Fleet growth and revenue'!I5=1),'Fleet growth and revenue'!I5=1,IF('Fleet growth and revenue'!I5="","",'Fleet growth and revenue'!I5=1))),0,'Fleet growth and revenue'!H6*'Model inputs'!AA20)</f>
        <v>0.14</v>
      </c>
      <c r="J14" s="9">
        <f>IF(IF(IF(ISERROR('Fleet growth and revenue'!J5=1),'Fleet growth and revenue'!J5=1,IF('Fleet growth and revenue'!J5="","",'Fleet growth and revenue'!J5=1))="",FALSE,IF(ISERROR('Fleet growth and revenue'!J5=1),'Fleet growth and revenue'!J5=1,IF('Fleet growth and revenue'!J5="","",'Fleet growth and revenue'!J5=1))),0,'Fleet growth and revenue'!I6*'Model inputs'!AA20)</f>
        <v>0.17</v>
      </c>
      <c r="K14" s="9">
        <f>IF(IF(IF(ISERROR('Fleet growth and revenue'!K5=1),'Fleet growth and revenue'!K5=1,IF('Fleet growth and revenue'!K5="","",'Fleet growth and revenue'!K5=1))="",FALSE,IF(ISERROR('Fleet growth and revenue'!K5=1),'Fleet growth and revenue'!K5=1,IF('Fleet growth and revenue'!K5="","",'Fleet growth and revenue'!K5=1))),0,'Fleet growth and revenue'!J6*'Model inputs'!AA20)</f>
        <v>0.19</v>
      </c>
      <c r="L14" s="9">
        <f>IF(IF(IF(ISERROR('Fleet growth and revenue'!L5=1),'Fleet growth and revenue'!L5=1,IF('Fleet growth and revenue'!L5="","",'Fleet growth and revenue'!L5=1))="",FALSE,IF(ISERROR('Fleet growth and revenue'!L5=1),'Fleet growth and revenue'!L5=1,IF('Fleet growth and revenue'!L5="","",'Fleet growth and revenue'!L5=1))),0,'Fleet growth and revenue'!K6*'Model inputs'!AA20)</f>
        <v>0.22</v>
      </c>
      <c r="M14" s="9">
        <f>IF(IF(IF(ISERROR('Fleet growth and revenue'!M5=1),'Fleet growth and revenue'!M5=1,IF('Fleet growth and revenue'!M5="","",'Fleet growth and revenue'!M5=1))="",FALSE,IF(ISERROR('Fleet growth and revenue'!M5=1),'Fleet growth and revenue'!M5=1,IF('Fleet growth and revenue'!M5="","",'Fleet growth and revenue'!M5=1))),0,'Fleet growth and revenue'!L6*'Model inputs'!AA20)</f>
        <v>0.25</v>
      </c>
      <c r="N14" s="9">
        <f>IF(IF(IF(ISERROR('Fleet growth and revenue'!N5=1),'Fleet growth and revenue'!N5=1,IF('Fleet growth and revenue'!N5="","",'Fleet growth and revenue'!N5=1))="",FALSE,IF(ISERROR('Fleet growth and revenue'!N5=1),'Fleet growth and revenue'!N5=1,IF('Fleet growth and revenue'!N5="","",'Fleet growth and revenue'!N5=1))),0,'Fleet growth and revenue'!M6*'Model inputs'!AA20)</f>
        <v>0.27</v>
      </c>
      <c r="O14" s="9">
        <f>IF(IF(IF(ISERROR('Fleet growth and revenue'!O5=1),'Fleet growth and revenue'!O5=1,IF('Fleet growth and revenue'!O5="","",'Fleet growth and revenue'!O5=1))="",FALSE,IF(ISERROR('Fleet growth and revenue'!O5=1),'Fleet growth and revenue'!O5=1,IF('Fleet growth and revenue'!O5="","",'Fleet growth and revenue'!O5=1))),0,'Fleet growth and revenue'!N6*'Model inputs'!AA20)</f>
        <v>0.3</v>
      </c>
      <c r="P14" s="9">
        <f>IF(IF(IF(ISERROR('Fleet growth and revenue'!P5=1),'Fleet growth and revenue'!P5=1,IF('Fleet growth and revenue'!P5="","",'Fleet growth and revenue'!P5=1))="",FALSE,IF(ISERROR('Fleet growth and revenue'!P5=1),'Fleet growth and revenue'!P5=1,IF('Fleet growth and revenue'!P5="","",'Fleet growth and revenue'!P5=1))),0,'Fleet growth and revenue'!O6*'Model inputs'!AA20)</f>
        <v>0.33</v>
      </c>
      <c r="Q14" s="9">
        <f>IF(IF(IF(ISERROR('Fleet growth and revenue'!Q5=1),'Fleet growth and revenue'!Q5=1,IF('Fleet growth and revenue'!Q5="","",'Fleet growth and revenue'!Q5=1))="",FALSE,IF(ISERROR('Fleet growth and revenue'!Q5=1),'Fleet growth and revenue'!Q5=1,IF('Fleet growth and revenue'!Q5="","",'Fleet growth and revenue'!Q5=1))),0,'Fleet growth and revenue'!P6*'Model inputs'!AA20)</f>
        <v>0.36</v>
      </c>
      <c r="R14" s="9">
        <f>IF(IF(IF(ISERROR('Fleet growth and revenue'!R5=1),'Fleet growth and revenue'!R5=1,IF('Fleet growth and revenue'!R5="","",'Fleet growth and revenue'!R5=1))="",FALSE,IF(ISERROR('Fleet growth and revenue'!R5=1),'Fleet growth and revenue'!R5=1,IF('Fleet growth and revenue'!R5="","",'Fleet growth and revenue'!R5=1))),0,'Fleet growth and revenue'!Q6*'Model inputs'!AA20)</f>
        <v>0.38</v>
      </c>
      <c r="S14" s="9">
        <f>IF(IF(IF(ISERROR('Fleet growth and revenue'!S5=1),'Fleet growth and revenue'!S5=1,IF('Fleet growth and revenue'!S5="","",'Fleet growth and revenue'!S5=1))="",FALSE,IF(ISERROR('Fleet growth and revenue'!S5=1),'Fleet growth and revenue'!S5=1,IF('Fleet growth and revenue'!S5="","",'Fleet growth and revenue'!S5=1))),0,'Fleet growth and revenue'!R6*'Model inputs'!AA20)</f>
        <v>0.41000000000000003</v>
      </c>
      <c r="T14" s="9">
        <f>IF(IF(IF(ISERROR('Fleet growth and revenue'!T5=1),'Fleet growth and revenue'!T5=1,IF('Fleet growth and revenue'!T5="","",'Fleet growth and revenue'!T5=1))="",FALSE,IF(ISERROR('Fleet growth and revenue'!T5=1),'Fleet growth and revenue'!T5=1,IF('Fleet growth and revenue'!T5="","",'Fleet growth and revenue'!T5=1))),0,'Fleet growth and revenue'!S6*'Model inputs'!AA20)</f>
        <v>0.44</v>
      </c>
      <c r="U14" s="9">
        <f>IF(IF(IF(ISERROR('Fleet growth and revenue'!U5=1),'Fleet growth and revenue'!U5=1,IF('Fleet growth and revenue'!U5="","",'Fleet growth and revenue'!U5=1))="",FALSE,IF(ISERROR('Fleet growth and revenue'!U5=1),'Fleet growth and revenue'!U5=1,IF('Fleet growth and revenue'!U5="","",'Fleet growth and revenue'!U5=1))),0,'Fleet growth and revenue'!T6*'Model inputs'!AA20)</f>
        <v>0.46</v>
      </c>
      <c r="V14" s="9">
        <f>IF(IF(IF(ISERROR('Fleet growth and revenue'!V5=1),'Fleet growth and revenue'!V5=1,IF('Fleet growth and revenue'!V5="","",'Fleet growth and revenue'!V5=1))="",FALSE,IF(ISERROR('Fleet growth and revenue'!V5=1),'Fleet growth and revenue'!V5=1,IF('Fleet growth and revenue'!V5="","",'Fleet growth and revenue'!V5=1))),0,'Fleet growth and revenue'!U6*'Model inputs'!AA20)</f>
        <v>0.49</v>
      </c>
      <c r="W14" s="9">
        <f>IF(IF(IF(ISERROR('Fleet growth and revenue'!W5=1),'Fleet growth and revenue'!W5=1,IF('Fleet growth and revenue'!W5="","",'Fleet growth and revenue'!W5=1))="",FALSE,IF(ISERROR('Fleet growth and revenue'!W5=1),'Fleet growth and revenue'!W5=1,IF('Fleet growth and revenue'!W5="","",'Fleet growth and revenue'!W5=1))),0,'Fleet growth and revenue'!V6*'Model inputs'!AA20)</f>
        <v>0.52</v>
      </c>
      <c r="X14" s="9">
        <f>IF(IF(IF(ISERROR('Fleet growth and revenue'!X5=1),'Fleet growth and revenue'!X5=1,IF('Fleet growth and revenue'!X5="","",'Fleet growth and revenue'!X5=1))="",FALSE,IF(ISERROR('Fleet growth and revenue'!X5=1),'Fleet growth and revenue'!X5=1,IF('Fleet growth and revenue'!X5="","",'Fleet growth and revenue'!X5=1))),0,'Fleet growth and revenue'!W6*'Model inputs'!AA20)</f>
        <v>0.55</v>
      </c>
      <c r="Y14" s="9">
        <f>IF(IF(IF(ISERROR('Fleet growth and revenue'!Y5=1),'Fleet growth and revenue'!Y5=1,IF('Fleet growth and revenue'!Y5="","",'Fleet growth and revenue'!Y5=1))="",FALSE,IF(ISERROR('Fleet growth and revenue'!Y5=1),'Fleet growth and revenue'!Y5=1,IF('Fleet growth and revenue'!Y5="","",'Fleet growth and revenue'!Y5=1))),0,'Fleet growth and revenue'!X6*'Model inputs'!AA20)</f>
        <v>0.5700000000000001</v>
      </c>
    </row>
    <row r="15">
      <c r="A15" t="inlineStr" s="8">
        <is>
          <t xml:space="preserve">Gross fleet wins required</t>
        </is>
      </c>
      <c r="B15" s="9">
        <f>MAX(0,'Fleet growth and revenue'!B6-IF(IF(IF(IF(ISERROR('Fleet growth and revenue'!B5=1),'Fleet growth and revenue'!B5=1,IF('Fleet growth and revenue'!B5="","",'Fleet growth and revenue'!B5=1))="",FALSE,IF(ISERROR('Fleet growth and revenue'!B5=1),'Fleet growth and revenue'!B5=1,IF('Fleet growth and revenue'!B5="","",'Fleet growth and revenue'!B5=1))),0,IF('Model inputs'!B6="","",'Model inputs'!B6))="",0,IF(IF(IF(ISERROR('Fleet growth and revenue'!B5=1),'Fleet growth and revenue'!B5=1,IF('Fleet growth and revenue'!B5="","",'Fleet growth and revenue'!B5=1))="",FALSE,IF(ISERROR('Fleet growth and revenue'!B5=1),'Fleet growth and revenue'!B5=1,IF('Fleet growth and revenue'!B5="","",'Fleet growth and revenue'!B5=1))),0,IF('Model inputs'!B6="","",'Model inputs'!B6)))+'Fleet growth and revenue'!B14)</f>
        <v>0</v>
      </c>
      <c r="C15" s="9">
        <f>MAX(0,'Fleet growth and revenue'!C6-IF(IF(IF(IF(ISERROR('Fleet growth and revenue'!C5=1),'Fleet growth and revenue'!C5=1,IF('Fleet growth and revenue'!C5="","",'Fleet growth and revenue'!C5=1))="",FALSE,IF(ISERROR('Fleet growth and revenue'!C5=1),'Fleet growth and revenue'!C5=1,IF('Fleet growth and revenue'!C5="","",'Fleet growth and revenue'!C5=1))),0,IF('Fleet growth and revenue'!B6="","",'Fleet growth and revenue'!B6))="",0,IF(IF(IF(ISERROR('Fleet growth and revenue'!C5=1),'Fleet growth and revenue'!C5=1,IF('Fleet growth and revenue'!C5="","",'Fleet growth and revenue'!C5=1))="",FALSE,IF(ISERROR('Fleet growth and revenue'!C5=1),'Fleet growth and revenue'!C5=1,IF('Fleet growth and revenue'!C5="","",'Fleet growth and revenue'!C5=1))),0,IF('Fleet growth and revenue'!B6="","",'Fleet growth and revenue'!B6)))+'Fleet growth and revenue'!C14)</f>
        <v>0</v>
      </c>
      <c r="D15" s="9">
        <f>MAX(0,'Fleet growth and revenue'!D6-IF(IF(IF(IF(ISERROR('Fleet growth and revenue'!D5=1),'Fleet growth and revenue'!D5=1,IF('Fleet growth and revenue'!D5="","",'Fleet growth and revenue'!D5=1))="",FALSE,IF(ISERROR('Fleet growth and revenue'!D5=1),'Fleet growth and revenue'!D5=1,IF('Fleet growth and revenue'!D5="","",'Fleet growth and revenue'!D5=1))),0,IF('Fleet growth and revenue'!C6="","",'Fleet growth and revenue'!C6))="",0,IF(IF(IF(ISERROR('Fleet growth and revenue'!D5=1),'Fleet growth and revenue'!D5=1,IF('Fleet growth and revenue'!D5="","",'Fleet growth and revenue'!D5=1))="",FALSE,IF(ISERROR('Fleet growth and revenue'!D5=1),'Fleet growth and revenue'!D5=1,IF('Fleet growth and revenue'!D5="","",'Fleet growth and revenue'!D5=1))),0,IF('Fleet growth and revenue'!C6="","",'Fleet growth and revenue'!C6)))+'Fleet growth and revenue'!D14)</f>
        <v>3</v>
      </c>
      <c r="E15" s="9">
        <f>MAX(0,'Fleet growth and revenue'!E6-IF(IF(IF(IF(ISERROR('Fleet growth and revenue'!E5=1),'Fleet growth and revenue'!E5=1,IF('Fleet growth and revenue'!E5="","",'Fleet growth and revenue'!E5=1))="",FALSE,IF(ISERROR('Fleet growth and revenue'!E5=1),'Fleet growth and revenue'!E5=1,IF('Fleet growth and revenue'!E5="","",'Fleet growth and revenue'!E5=1))),0,IF('Fleet growth and revenue'!D6="","",'Fleet growth and revenue'!D6))="",0,IF(IF(IF(ISERROR('Fleet growth and revenue'!E5=1),'Fleet growth and revenue'!E5=1,IF('Fleet growth and revenue'!E5="","",'Fleet growth and revenue'!E5=1))="",FALSE,IF(ISERROR('Fleet growth and revenue'!E5=1),'Fleet growth and revenue'!E5=1,IF('Fleet growth and revenue'!E5="","",'Fleet growth and revenue'!E5=1))),0,IF('Fleet growth and revenue'!D6="","",'Fleet growth and revenue'!D6)))+'Fleet growth and revenue'!E14)</f>
        <v>3.03</v>
      </c>
      <c r="F15" s="9">
        <f>MAX(0,'Fleet growth and revenue'!F6-IF(IF(IF(IF(ISERROR('Fleet growth and revenue'!F5=1),'Fleet growth and revenue'!F5=1,IF('Fleet growth and revenue'!F5="","",'Fleet growth and revenue'!F5=1))="",FALSE,IF(ISERROR('Fleet growth and revenue'!F5=1),'Fleet growth and revenue'!F5=1,IF('Fleet growth and revenue'!F5="","",'Fleet growth and revenue'!F5=1))),0,IF('Fleet growth and revenue'!E6="","",'Fleet growth and revenue'!E6))="",0,IF(IF(IF(ISERROR('Fleet growth and revenue'!F5=1),'Fleet growth and revenue'!F5=1,IF('Fleet growth and revenue'!F5="","",'Fleet growth and revenue'!F5=1))="",FALSE,IF(ISERROR('Fleet growth and revenue'!F5=1),'Fleet growth and revenue'!F5=1,IF('Fleet growth and revenue'!F5="","",'Fleet growth and revenue'!F5=1))),0,IF('Fleet growth and revenue'!E6="","",'Fleet growth and revenue'!E6)))+'Fleet growth and revenue'!F14)</f>
        <v>2.06</v>
      </c>
      <c r="G15" s="9">
        <f>MAX(0,'Fleet growth and revenue'!G6-IF(IF(IF(IF(ISERROR('Fleet growth and revenue'!G5=1),'Fleet growth and revenue'!G5=1,IF('Fleet growth and revenue'!G5="","",'Fleet growth and revenue'!G5=1))="",FALSE,IF(ISERROR('Fleet growth and revenue'!G5=1),'Fleet growth and revenue'!G5=1,IF('Fleet growth and revenue'!G5="","",'Fleet growth and revenue'!G5=1))),0,IF('Fleet growth and revenue'!F6="","",'Fleet growth and revenue'!F6))="",0,IF(IF(IF(ISERROR('Fleet growth and revenue'!G5=1),'Fleet growth and revenue'!G5=1,IF('Fleet growth and revenue'!G5="","",'Fleet growth and revenue'!G5=1))="",FALSE,IF(ISERROR('Fleet growth and revenue'!G5=1),'Fleet growth and revenue'!G5=1,IF('Fleet growth and revenue'!G5="","",'Fleet growth and revenue'!G5=1))),0,IF('Fleet growth and revenue'!F6="","",'Fleet growth and revenue'!F6)))+'Fleet growth and revenue'!G14)</f>
        <v>3.08</v>
      </c>
      <c r="H15" s="9">
        <f>MAX(0,'Fleet growth and revenue'!H6-IF(IF(IF(IF(ISERROR('Fleet growth and revenue'!H5=1),'Fleet growth and revenue'!H5=1,IF('Fleet growth and revenue'!H5="","",'Fleet growth and revenue'!H5=1))="",FALSE,IF(ISERROR('Fleet growth and revenue'!H5=1),'Fleet growth and revenue'!H5=1,IF('Fleet growth and revenue'!H5="","",'Fleet growth and revenue'!H5=1))),0,IF('Fleet growth and revenue'!G6="","",'Fleet growth and revenue'!G6))="",0,IF(IF(IF(ISERROR('Fleet growth and revenue'!H5=1),'Fleet growth and revenue'!H5=1,IF('Fleet growth and revenue'!H5="","",'Fleet growth and revenue'!H5=1))="",FALSE,IF(ISERROR('Fleet growth and revenue'!H5=1),'Fleet growth and revenue'!H5=1,IF('Fleet growth and revenue'!H5="","",'Fleet growth and revenue'!H5=1))),0,IF('Fleet growth and revenue'!G6="","",'Fleet growth and revenue'!G6)))+'Fleet growth and revenue'!H14)</f>
        <v>3.11</v>
      </c>
      <c r="I15" s="9">
        <f>MAX(0,'Fleet growth and revenue'!I6-IF(IF(IF(IF(ISERROR('Fleet growth and revenue'!I5=1),'Fleet growth and revenue'!I5=1,IF('Fleet growth and revenue'!I5="","",'Fleet growth and revenue'!I5=1))="",FALSE,IF(ISERROR('Fleet growth and revenue'!I5=1),'Fleet growth and revenue'!I5=1,IF('Fleet growth and revenue'!I5="","",'Fleet growth and revenue'!I5=1))),0,IF('Fleet growth and revenue'!H6="","",'Fleet growth and revenue'!H6))="",0,IF(IF(IF(ISERROR('Fleet growth and revenue'!I5=1),'Fleet growth and revenue'!I5=1,IF('Fleet growth and revenue'!I5="","",'Fleet growth and revenue'!I5=1))="",FALSE,IF(ISERROR('Fleet growth and revenue'!I5=1),'Fleet growth and revenue'!I5=1,IF('Fleet growth and revenue'!I5="","",'Fleet growth and revenue'!I5=1))),0,IF('Fleet growth and revenue'!H6="","",'Fleet growth and revenue'!H6)))+'Fleet growth and revenue'!I14)</f>
        <v>3.14</v>
      </c>
      <c r="J15" s="9">
        <f>MAX(0,'Fleet growth and revenue'!J6-IF(IF(IF(IF(ISERROR('Fleet growth and revenue'!J5=1),'Fleet growth and revenue'!J5=1,IF('Fleet growth and revenue'!J5="","",'Fleet growth and revenue'!J5=1))="",FALSE,IF(ISERROR('Fleet growth and revenue'!J5=1),'Fleet growth and revenue'!J5=1,IF('Fleet growth and revenue'!J5="","",'Fleet growth and revenue'!J5=1))),0,IF('Fleet growth and revenue'!I6="","",'Fleet growth and revenue'!I6))="",0,IF(IF(IF(ISERROR('Fleet growth and revenue'!J5=1),'Fleet growth and revenue'!J5=1,IF('Fleet growth and revenue'!J5="","",'Fleet growth and revenue'!J5=1))="",FALSE,IF(ISERROR('Fleet growth and revenue'!J5=1),'Fleet growth and revenue'!J5=1,IF('Fleet growth and revenue'!J5="","",'Fleet growth and revenue'!J5=1))),0,IF('Fleet growth and revenue'!I6="","",'Fleet growth and revenue'!I6)))+'Fleet growth and revenue'!J14)</f>
        <v>2.17</v>
      </c>
      <c r="K15" s="9">
        <f>MAX(0,'Fleet growth and revenue'!K6-IF(IF(IF(IF(ISERROR('Fleet growth and revenue'!K5=1),'Fleet growth and revenue'!K5=1,IF('Fleet growth and revenue'!K5="","",'Fleet growth and revenue'!K5=1))="",FALSE,IF(ISERROR('Fleet growth and revenue'!K5=1),'Fleet growth and revenue'!K5=1,IF('Fleet growth and revenue'!K5="","",'Fleet growth and revenue'!K5=1))),0,IF('Fleet growth and revenue'!J6="","",'Fleet growth and revenue'!J6))="",0,IF(IF(IF(ISERROR('Fleet growth and revenue'!K5=1),'Fleet growth and revenue'!K5=1,IF('Fleet growth and revenue'!K5="","",'Fleet growth and revenue'!K5=1))="",FALSE,IF(ISERROR('Fleet growth and revenue'!K5=1),'Fleet growth and revenue'!K5=1,IF('Fleet growth and revenue'!K5="","",'Fleet growth and revenue'!K5=1))),0,IF('Fleet growth and revenue'!J6="","",'Fleet growth and revenue'!J6)))+'Fleet growth and revenue'!K14)</f>
        <v>3.19</v>
      </c>
      <c r="L15" s="9">
        <f>MAX(0,'Fleet growth and revenue'!L6-IF(IF(IF(IF(ISERROR('Fleet growth and revenue'!L5=1),'Fleet growth and revenue'!L5=1,IF('Fleet growth and revenue'!L5="","",'Fleet growth and revenue'!L5=1))="",FALSE,IF(ISERROR('Fleet growth and revenue'!L5=1),'Fleet growth and revenue'!L5=1,IF('Fleet growth and revenue'!L5="","",'Fleet growth and revenue'!L5=1))),0,IF('Fleet growth and revenue'!K6="","",'Fleet growth and revenue'!K6))="",0,IF(IF(IF(ISERROR('Fleet growth and revenue'!L5=1),'Fleet growth and revenue'!L5=1,IF('Fleet growth and revenue'!L5="","",'Fleet growth and revenue'!L5=1))="",FALSE,IF(ISERROR('Fleet growth and revenue'!L5=1),'Fleet growth and revenue'!L5=1,IF('Fleet growth and revenue'!L5="","",'Fleet growth and revenue'!L5=1))),0,IF('Fleet growth and revenue'!K6="","",'Fleet growth and revenue'!K6)))+'Fleet growth and revenue'!L14)</f>
        <v>3.22</v>
      </c>
      <c r="M15" s="9">
        <f>MAX(0,'Fleet growth and revenue'!M6-IF(IF(IF(IF(ISERROR('Fleet growth and revenue'!M5=1),'Fleet growth and revenue'!M5=1,IF('Fleet growth and revenue'!M5="","",'Fleet growth and revenue'!M5=1))="",FALSE,IF(ISERROR('Fleet growth and revenue'!M5=1),'Fleet growth and revenue'!M5=1,IF('Fleet growth and revenue'!M5="","",'Fleet growth and revenue'!M5=1))),0,IF('Fleet growth and revenue'!L6="","",'Fleet growth and revenue'!L6))="",0,IF(IF(IF(ISERROR('Fleet growth and revenue'!M5=1),'Fleet growth and revenue'!M5=1,IF('Fleet growth and revenue'!M5="","",'Fleet growth and revenue'!M5=1))="",FALSE,IF(ISERROR('Fleet growth and revenue'!M5=1),'Fleet growth and revenue'!M5=1,IF('Fleet growth and revenue'!M5="","",'Fleet growth and revenue'!M5=1))),0,IF('Fleet growth and revenue'!L6="","",'Fleet growth and revenue'!L6)))+'Fleet growth and revenue'!M14)</f>
        <v>2.25</v>
      </c>
      <c r="N15" s="9">
        <f>MAX(0,'Fleet growth and revenue'!N6-IF(IF(IF(IF(ISERROR('Fleet growth and revenue'!N5=1),'Fleet growth and revenue'!N5=1,IF('Fleet growth and revenue'!N5="","",'Fleet growth and revenue'!N5=1))="",FALSE,IF(ISERROR('Fleet growth and revenue'!N5=1),'Fleet growth and revenue'!N5=1,IF('Fleet growth and revenue'!N5="","",'Fleet growth and revenue'!N5=1))),0,IF('Fleet growth and revenue'!M6="","",'Fleet growth and revenue'!M6))="",0,IF(IF(IF(ISERROR('Fleet growth and revenue'!N5=1),'Fleet growth and revenue'!N5=1,IF('Fleet growth and revenue'!N5="","",'Fleet growth and revenue'!N5=1))="",FALSE,IF(ISERROR('Fleet growth and revenue'!N5=1),'Fleet growth and revenue'!N5=1,IF('Fleet growth and revenue'!N5="","",'Fleet growth and revenue'!N5=1))),0,IF('Fleet growth and revenue'!M6="","",'Fleet growth and revenue'!M6)))+'Fleet growth and revenue'!N14)</f>
        <v>3.27</v>
      </c>
      <c r="O15" s="9">
        <f>MAX(0,'Fleet growth and revenue'!O6-IF(IF(IF(IF(ISERROR('Fleet growth and revenue'!O5=1),'Fleet growth and revenue'!O5=1,IF('Fleet growth and revenue'!O5="","",'Fleet growth and revenue'!O5=1))="",FALSE,IF(ISERROR('Fleet growth and revenue'!O5=1),'Fleet growth and revenue'!O5=1,IF('Fleet growth and revenue'!O5="","",'Fleet growth and revenue'!O5=1))),0,IF('Fleet growth and revenue'!N6="","",'Fleet growth and revenue'!N6))="",0,IF(IF(IF(ISERROR('Fleet growth and revenue'!O5=1),'Fleet growth and revenue'!O5=1,IF('Fleet growth and revenue'!O5="","",'Fleet growth and revenue'!O5=1))="",FALSE,IF(ISERROR('Fleet growth and revenue'!O5=1),'Fleet growth and revenue'!O5=1,IF('Fleet growth and revenue'!O5="","",'Fleet growth and revenue'!O5=1))),0,IF('Fleet growth and revenue'!N6="","",'Fleet growth and revenue'!N6)))+'Fleet growth and revenue'!O14)</f>
        <v>3.3</v>
      </c>
      <c r="P15" s="9">
        <f>MAX(0,'Fleet growth and revenue'!P6-IF(IF(IF(IF(ISERROR('Fleet growth and revenue'!P5=1),'Fleet growth and revenue'!P5=1,IF('Fleet growth and revenue'!P5="","",'Fleet growth and revenue'!P5=1))="",FALSE,IF(ISERROR('Fleet growth and revenue'!P5=1),'Fleet growth and revenue'!P5=1,IF('Fleet growth and revenue'!P5="","",'Fleet growth and revenue'!P5=1))),0,IF('Fleet growth and revenue'!O6="","",'Fleet growth and revenue'!O6))="",0,IF(IF(IF(ISERROR('Fleet growth and revenue'!P5=1),'Fleet growth and revenue'!P5=1,IF('Fleet growth and revenue'!P5="","",'Fleet growth and revenue'!P5=1))="",FALSE,IF(ISERROR('Fleet growth and revenue'!P5=1),'Fleet growth and revenue'!P5=1,IF('Fleet growth and revenue'!P5="","",'Fleet growth and revenue'!P5=1))),0,IF('Fleet growth and revenue'!O6="","",'Fleet growth and revenue'!O6)))+'Fleet growth and revenue'!P14)</f>
        <v>3.33</v>
      </c>
      <c r="Q15" s="9">
        <f>MAX(0,'Fleet growth and revenue'!Q6-IF(IF(IF(IF(ISERROR('Fleet growth and revenue'!Q5=1),'Fleet growth and revenue'!Q5=1,IF('Fleet growth and revenue'!Q5="","",'Fleet growth and revenue'!Q5=1))="",FALSE,IF(ISERROR('Fleet growth and revenue'!Q5=1),'Fleet growth and revenue'!Q5=1,IF('Fleet growth and revenue'!Q5="","",'Fleet growth and revenue'!Q5=1))),0,IF('Fleet growth and revenue'!P6="","",'Fleet growth and revenue'!P6))="",0,IF(IF(IF(ISERROR('Fleet growth and revenue'!Q5=1),'Fleet growth and revenue'!Q5=1,IF('Fleet growth and revenue'!Q5="","",'Fleet growth and revenue'!Q5=1))="",FALSE,IF(ISERROR('Fleet growth and revenue'!Q5=1),'Fleet growth and revenue'!Q5=1,IF('Fleet growth and revenue'!Q5="","",'Fleet growth and revenue'!Q5=1))),0,IF('Fleet growth and revenue'!P6="","",'Fleet growth and revenue'!P6)))+'Fleet growth and revenue'!Q14)</f>
        <v>2.36</v>
      </c>
      <c r="R15" s="9">
        <f>MAX(0,'Fleet growth and revenue'!R6-IF(IF(IF(IF(ISERROR('Fleet growth and revenue'!R5=1),'Fleet growth and revenue'!R5=1,IF('Fleet growth and revenue'!R5="","",'Fleet growth and revenue'!R5=1))="",FALSE,IF(ISERROR('Fleet growth and revenue'!R5=1),'Fleet growth and revenue'!R5=1,IF('Fleet growth and revenue'!R5="","",'Fleet growth and revenue'!R5=1))),0,IF('Fleet growth and revenue'!Q6="","",'Fleet growth and revenue'!Q6))="",0,IF(IF(IF(ISERROR('Fleet growth and revenue'!R5=1),'Fleet growth and revenue'!R5=1,IF('Fleet growth and revenue'!R5="","",'Fleet growth and revenue'!R5=1))="",FALSE,IF(ISERROR('Fleet growth and revenue'!R5=1),'Fleet growth and revenue'!R5=1,IF('Fleet growth and revenue'!R5="","",'Fleet growth and revenue'!R5=1))),0,IF('Fleet growth and revenue'!Q6="","",'Fleet growth and revenue'!Q6)))+'Fleet growth and revenue'!R14)</f>
        <v>3.38</v>
      </c>
      <c r="S15" s="9">
        <f>MAX(0,'Fleet growth and revenue'!S6-IF(IF(IF(IF(ISERROR('Fleet growth and revenue'!S5=1),'Fleet growth and revenue'!S5=1,IF('Fleet growth and revenue'!S5="","",'Fleet growth and revenue'!S5=1))="",FALSE,IF(ISERROR('Fleet growth and revenue'!S5=1),'Fleet growth and revenue'!S5=1,IF('Fleet growth and revenue'!S5="","",'Fleet growth and revenue'!S5=1))),0,IF('Fleet growth and revenue'!R6="","",'Fleet growth and revenue'!R6))="",0,IF(IF(IF(ISERROR('Fleet growth and revenue'!S5=1),'Fleet growth and revenue'!S5=1,IF('Fleet growth and revenue'!S5="","",'Fleet growth and revenue'!S5=1))="",FALSE,IF(ISERROR('Fleet growth and revenue'!S5=1),'Fleet growth and revenue'!S5=1,IF('Fleet growth and revenue'!S5="","",'Fleet growth and revenue'!S5=1))),0,IF('Fleet growth and revenue'!R6="","",'Fleet growth and revenue'!R6)))+'Fleet growth and revenue'!S14)</f>
        <v>3.41</v>
      </c>
      <c r="T15" s="9">
        <f>MAX(0,'Fleet growth and revenue'!T6-IF(IF(IF(IF(ISERROR('Fleet growth and revenue'!T5=1),'Fleet growth and revenue'!T5=1,IF('Fleet growth and revenue'!T5="","",'Fleet growth and revenue'!T5=1))="",FALSE,IF(ISERROR('Fleet growth and revenue'!T5=1),'Fleet growth and revenue'!T5=1,IF('Fleet growth and revenue'!T5="","",'Fleet growth and revenue'!T5=1))),0,IF('Fleet growth and revenue'!S6="","",'Fleet growth and revenue'!S6))="",0,IF(IF(IF(ISERROR('Fleet growth and revenue'!T5=1),'Fleet growth and revenue'!T5=1,IF('Fleet growth and revenue'!T5="","",'Fleet growth and revenue'!T5=1))="",FALSE,IF(ISERROR('Fleet growth and revenue'!T5=1),'Fleet growth and revenue'!T5=1,IF('Fleet growth and revenue'!T5="","",'Fleet growth and revenue'!T5=1))),0,IF('Fleet growth and revenue'!S6="","",'Fleet growth and revenue'!S6)))+'Fleet growth and revenue'!T14)</f>
        <v>2.44</v>
      </c>
      <c r="U15" s="9">
        <f>MAX(0,'Fleet growth and revenue'!U6-IF(IF(IF(IF(ISERROR('Fleet growth and revenue'!U5=1),'Fleet growth and revenue'!U5=1,IF('Fleet growth and revenue'!U5="","",'Fleet growth and revenue'!U5=1))="",FALSE,IF(ISERROR('Fleet growth and revenue'!U5=1),'Fleet growth and revenue'!U5=1,IF('Fleet growth and revenue'!U5="","",'Fleet growth and revenue'!U5=1))),0,IF('Fleet growth and revenue'!T6="","",'Fleet growth and revenue'!T6))="",0,IF(IF(IF(ISERROR('Fleet growth and revenue'!U5=1),'Fleet growth and revenue'!U5=1,IF('Fleet growth and revenue'!U5="","",'Fleet growth and revenue'!U5=1))="",FALSE,IF(ISERROR('Fleet growth and revenue'!U5=1),'Fleet growth and revenue'!U5=1,IF('Fleet growth and revenue'!U5="","",'Fleet growth and revenue'!U5=1))),0,IF('Fleet growth and revenue'!T6="","",'Fleet growth and revenue'!T6)))+'Fleet growth and revenue'!U14)</f>
        <v>3.46</v>
      </c>
      <c r="V15" s="9">
        <f>MAX(0,'Fleet growth and revenue'!V6-IF(IF(IF(IF(ISERROR('Fleet growth and revenue'!V5=1),'Fleet growth and revenue'!V5=1,IF('Fleet growth and revenue'!V5="","",'Fleet growth and revenue'!V5=1))="",FALSE,IF(ISERROR('Fleet growth and revenue'!V5=1),'Fleet growth and revenue'!V5=1,IF('Fleet growth and revenue'!V5="","",'Fleet growth and revenue'!V5=1))),0,IF('Fleet growth and revenue'!U6="","",'Fleet growth and revenue'!U6))="",0,IF(IF(IF(ISERROR('Fleet growth and revenue'!V5=1),'Fleet growth and revenue'!V5=1,IF('Fleet growth and revenue'!V5="","",'Fleet growth and revenue'!V5=1))="",FALSE,IF(ISERROR('Fleet growth and revenue'!V5=1),'Fleet growth and revenue'!V5=1,IF('Fleet growth and revenue'!V5="","",'Fleet growth and revenue'!V5=1))),0,IF('Fleet growth and revenue'!U6="","",'Fleet growth and revenue'!U6)))+'Fleet growth and revenue'!V14)</f>
        <v>3.49</v>
      </c>
      <c r="W15" s="9">
        <f>MAX(0,'Fleet growth and revenue'!W6-IF(IF(IF(IF(ISERROR('Fleet growth and revenue'!W5=1),'Fleet growth and revenue'!W5=1,IF('Fleet growth and revenue'!W5="","",'Fleet growth and revenue'!W5=1))="",FALSE,IF(ISERROR('Fleet growth and revenue'!W5=1),'Fleet growth and revenue'!W5=1,IF('Fleet growth and revenue'!W5="","",'Fleet growth and revenue'!W5=1))),0,IF('Fleet growth and revenue'!V6="","",'Fleet growth and revenue'!V6))="",0,IF(IF(IF(ISERROR('Fleet growth and revenue'!W5=1),'Fleet growth and revenue'!W5=1,IF('Fleet growth and revenue'!W5="","",'Fleet growth and revenue'!W5=1))="",FALSE,IF(ISERROR('Fleet growth and revenue'!W5=1),'Fleet growth and revenue'!W5=1,IF('Fleet growth and revenue'!W5="","",'Fleet growth and revenue'!W5=1))),0,IF('Fleet growth and revenue'!V6="","",'Fleet growth and revenue'!V6)))+'Fleet growth and revenue'!W14)</f>
        <v>3.52</v>
      </c>
      <c r="X15" s="9">
        <f>MAX(0,'Fleet growth and revenue'!X6-IF(IF(IF(IF(ISERROR('Fleet growth and revenue'!X5=1),'Fleet growth and revenue'!X5=1,IF('Fleet growth and revenue'!X5="","",'Fleet growth and revenue'!X5=1))="",FALSE,IF(ISERROR('Fleet growth and revenue'!X5=1),'Fleet growth and revenue'!X5=1,IF('Fleet growth and revenue'!X5="","",'Fleet growth and revenue'!X5=1))),0,IF('Fleet growth and revenue'!W6="","",'Fleet growth and revenue'!W6))="",0,IF(IF(IF(ISERROR('Fleet growth and revenue'!X5=1),'Fleet growth and revenue'!X5=1,IF('Fleet growth and revenue'!X5="","",'Fleet growth and revenue'!X5=1))="",FALSE,IF(ISERROR('Fleet growth and revenue'!X5=1),'Fleet growth and revenue'!X5=1,IF('Fleet growth and revenue'!X5="","",'Fleet growth and revenue'!X5=1))),0,IF('Fleet growth and revenue'!W6="","",'Fleet growth and revenue'!W6)))+'Fleet growth and revenue'!X14)</f>
        <v>2.55</v>
      </c>
      <c r="Y15" s="9">
        <f>MAX(0,'Fleet growth and revenue'!Y6-IF(IF(IF(IF(ISERROR('Fleet growth and revenue'!Y5=1),'Fleet growth and revenue'!Y5=1,IF('Fleet growth and revenue'!Y5="","",'Fleet growth and revenue'!Y5=1))="",FALSE,IF(ISERROR('Fleet growth and revenue'!Y5=1),'Fleet growth and revenue'!Y5=1,IF('Fleet growth and revenue'!Y5="","",'Fleet growth and revenue'!Y5=1))),0,IF('Fleet growth and revenue'!X6="","",'Fleet growth and revenue'!X6))="",0,IF(IF(IF(ISERROR('Fleet growth and revenue'!Y5=1),'Fleet growth and revenue'!Y5=1,IF('Fleet growth and revenue'!Y5="","",'Fleet growth and revenue'!Y5=1))="",FALSE,IF(ISERROR('Fleet growth and revenue'!Y5=1),'Fleet growth and revenue'!Y5=1,IF('Fleet growth and revenue'!Y5="","",'Fleet growth and revenue'!Y5=1))),0,IF('Fleet growth and revenue'!X6="","",'Fleet growth and revenue'!X6)))+'Fleet growth and revenue'!Y14)</f>
        <v>3.5700000000000003</v>
      </c>
    </row>
    <row r="16">
      <c r="A16" t="inlineStr" s="6">
        <is>
          <t xml:space="preserve">Van subscription revenue</t>
        </is>
      </c>
      <c r="B16" s="11">
        <f>SUM('Fleet growth and revenue'!B17,'Fleet growth and revenue'!B18)</f>
        <v>0</v>
      </c>
      <c r="C16" s="11">
        <f>SUM('Fleet growth and revenue'!C17,'Fleet growth and revenue'!C18)</f>
        <v>0</v>
      </c>
      <c r="D16" s="11">
        <f>SUM('Fleet growth and revenue'!D17,'Fleet growth and revenue'!D18)</f>
        <v>4410</v>
      </c>
      <c r="E16" s="11">
        <f>SUM('Fleet growth and revenue'!E17,'Fleet growth and revenue'!E18)</f>
        <v>8820</v>
      </c>
      <c r="F16" s="11">
        <f>SUM('Fleet growth and revenue'!F17,'Fleet growth and revenue'!F18)</f>
        <v>11760</v>
      </c>
      <c r="G16" s="11">
        <f>SUM('Fleet growth and revenue'!G17,'Fleet growth and revenue'!G18)</f>
        <v>21070</v>
      </c>
      <c r="H16" s="11">
        <f>SUM('Fleet growth and revenue'!H17,'Fleet growth and revenue'!H18)</f>
        <v>25480</v>
      </c>
      <c r="I16" s="11">
        <f>SUM('Fleet growth and revenue'!I17,'Fleet growth and revenue'!I18)</f>
        <v>32340</v>
      </c>
      <c r="J16" s="11">
        <f>SUM('Fleet growth and revenue'!J17,'Fleet growth and revenue'!J18)</f>
        <v>35280</v>
      </c>
      <c r="K16" s="11">
        <f>SUM('Fleet growth and revenue'!K17,'Fleet growth and revenue'!K18)</f>
        <v>42140</v>
      </c>
      <c r="L16" s="11">
        <f>SUM('Fleet growth and revenue'!L17,'Fleet growth and revenue'!L18)</f>
        <v>46550</v>
      </c>
      <c r="M16" s="11">
        <f>SUM('Fleet growth and revenue'!M17,'Fleet growth and revenue'!M18)</f>
        <v>51940</v>
      </c>
      <c r="N16" s="11">
        <f>SUM('Fleet growth and revenue'!N17,'Fleet growth and revenue'!N18)</f>
        <v>56350</v>
      </c>
      <c r="O16" s="11">
        <f>SUM('Fleet growth and revenue'!O17,'Fleet growth and revenue'!O18)</f>
        <v>63210</v>
      </c>
      <c r="P16" s="11">
        <f>SUM('Fleet growth and revenue'!P17,'Fleet growth and revenue'!P18)</f>
        <v>70070</v>
      </c>
      <c r="Q16" s="11">
        <f>SUM('Fleet growth and revenue'!Q17,'Fleet growth and revenue'!Q18)</f>
        <v>73010</v>
      </c>
      <c r="R16" s="11">
        <f>SUM('Fleet growth and revenue'!R17,'Fleet growth and revenue'!R18)</f>
        <v>79870</v>
      </c>
      <c r="S16" s="11">
        <f>SUM('Fleet growth and revenue'!S17,'Fleet growth and revenue'!S18)</f>
        <v>84280</v>
      </c>
      <c r="T16" s="11">
        <f>SUM('Fleet growth and revenue'!T17,'Fleet growth and revenue'!T18)</f>
        <v>89670</v>
      </c>
      <c r="U16" s="11">
        <f>SUM('Fleet growth and revenue'!U17,'Fleet growth and revenue'!U18)</f>
        <v>94080</v>
      </c>
      <c r="V16" s="11">
        <f>SUM('Fleet growth and revenue'!V17,'Fleet growth and revenue'!V18)</f>
        <v>100940</v>
      </c>
      <c r="W16" s="11">
        <f>SUM('Fleet growth and revenue'!W17,'Fleet growth and revenue'!W18)</f>
        <v>105350</v>
      </c>
      <c r="X16" s="11">
        <f>SUM('Fleet growth and revenue'!X17,'Fleet growth and revenue'!X18)</f>
        <v>110740</v>
      </c>
      <c r="Y16" s="11">
        <f>SUM('Fleet growth and revenue'!Y17,'Fleet growth and revenue'!Y18)</f>
        <v>115150</v>
      </c>
    </row>
    <row r="17" outlineLevel="1">
      <c r="A17" t="inlineStr" s="10">
        <is>
          <t xml:space="preserve">30-van fleets</t>
        </is>
      </c>
      <c r="B17" s="12">
        <f>'Fleet growth and revenue'!B12*'Model inputs'!AA28</f>
        <v>0</v>
      </c>
      <c r="C17" s="12">
        <f>'Fleet growth and revenue'!C12*'Model inputs'!AA28</f>
        <v>0</v>
      </c>
      <c r="D17" s="12">
        <f>'Fleet growth and revenue'!D12*'Model inputs'!AA28</f>
        <v>4410</v>
      </c>
      <c r="E17" s="12">
        <f>'Fleet growth and revenue'!E12*'Model inputs'!AA28</f>
        <v>8820</v>
      </c>
      <c r="F17" s="12">
        <f>'Fleet growth and revenue'!F12*'Model inputs'!AA28</f>
        <v>11760</v>
      </c>
      <c r="G17" s="12">
        <f>'Fleet growth and revenue'!G12*'Model inputs'!AA28</f>
        <v>13230</v>
      </c>
      <c r="H17" s="12">
        <f>'Fleet growth and revenue'!H12*'Model inputs'!AA28</f>
        <v>17640</v>
      </c>
      <c r="I17" s="12">
        <f>'Fleet growth and revenue'!I12*'Model inputs'!AA28</f>
        <v>20580</v>
      </c>
      <c r="J17" s="12">
        <f>'Fleet growth and revenue'!J12*'Model inputs'!AA28</f>
        <v>23520</v>
      </c>
      <c r="K17" s="12">
        <f>'Fleet growth and revenue'!K12*'Model inputs'!AA28</f>
        <v>26460</v>
      </c>
      <c r="L17" s="12">
        <f>'Fleet growth and revenue'!L12*'Model inputs'!AA28</f>
        <v>30870</v>
      </c>
      <c r="M17" s="12">
        <f>'Fleet growth and revenue'!M12*'Model inputs'!AA28</f>
        <v>32340</v>
      </c>
      <c r="N17" s="12">
        <f>'Fleet growth and revenue'!N12*'Model inputs'!AA28</f>
        <v>36750</v>
      </c>
      <c r="O17" s="12">
        <f>'Fleet growth and revenue'!O12*'Model inputs'!AA28</f>
        <v>39690</v>
      </c>
      <c r="P17" s="12">
        <f>'Fleet growth and revenue'!P12*'Model inputs'!AA28</f>
        <v>42630</v>
      </c>
      <c r="Q17" s="12">
        <f>'Fleet growth and revenue'!Q12*'Model inputs'!AA28</f>
        <v>45570</v>
      </c>
      <c r="R17" s="12">
        <f>'Fleet growth and revenue'!R12*'Model inputs'!AA28</f>
        <v>48510</v>
      </c>
      <c r="S17" s="12">
        <f>'Fleet growth and revenue'!S12*'Model inputs'!AA28</f>
        <v>52920</v>
      </c>
      <c r="T17" s="12">
        <f>'Fleet growth and revenue'!T12*'Model inputs'!AA28</f>
        <v>54390</v>
      </c>
      <c r="U17" s="12">
        <f>'Fleet growth and revenue'!U12*'Model inputs'!AA28</f>
        <v>58800</v>
      </c>
      <c r="V17" s="12">
        <f>'Fleet growth and revenue'!V12*'Model inputs'!AA28</f>
        <v>61740</v>
      </c>
      <c r="W17" s="12">
        <f>'Fleet growth and revenue'!W12*'Model inputs'!AA28</f>
        <v>66150</v>
      </c>
      <c r="X17" s="12">
        <f>'Fleet growth and revenue'!X12*'Model inputs'!AA28</f>
        <v>67620</v>
      </c>
      <c r="Y17" s="12">
        <f>'Fleet growth and revenue'!Y12*'Model inputs'!AA28</f>
        <v>72030</v>
      </c>
    </row>
    <row r="18" outlineLevel="1">
      <c r="A18" t="inlineStr" s="10">
        <is>
          <t xml:space="preserve">80-van fleets</t>
        </is>
      </c>
      <c r="B18" s="12">
        <f>'Fleet growth and revenue'!B13*'Model inputs'!AA28</f>
        <v>0</v>
      </c>
      <c r="C18" s="12">
        <f>'Fleet growth and revenue'!C13*'Model inputs'!AA28</f>
        <v>0</v>
      </c>
      <c r="D18" s="12">
        <f>'Fleet growth and revenue'!D13*'Model inputs'!AA28</f>
        <v>0</v>
      </c>
      <c r="E18" s="12">
        <f>'Fleet growth and revenue'!E13*'Model inputs'!AA28</f>
        <v>0</v>
      </c>
      <c r="F18" s="12">
        <f>'Fleet growth and revenue'!F13*'Model inputs'!AA28</f>
        <v>0</v>
      </c>
      <c r="G18" s="12">
        <f>'Fleet growth and revenue'!G13*'Model inputs'!AA28</f>
        <v>7840</v>
      </c>
      <c r="H18" s="12">
        <f>'Fleet growth and revenue'!H13*'Model inputs'!AA28</f>
        <v>7840</v>
      </c>
      <c r="I18" s="12">
        <f>'Fleet growth and revenue'!I13*'Model inputs'!AA28</f>
        <v>11760</v>
      </c>
      <c r="J18" s="12">
        <f>'Fleet growth and revenue'!J13*'Model inputs'!AA28</f>
        <v>11760</v>
      </c>
      <c r="K18" s="12">
        <f>'Fleet growth and revenue'!K13*'Model inputs'!AA28</f>
        <v>15680</v>
      </c>
      <c r="L18" s="12">
        <f>'Fleet growth and revenue'!L13*'Model inputs'!AA28</f>
        <v>15680</v>
      </c>
      <c r="M18" s="12">
        <f>'Fleet growth and revenue'!M13*'Model inputs'!AA28</f>
        <v>19600</v>
      </c>
      <c r="N18" s="12">
        <f>'Fleet growth and revenue'!N13*'Model inputs'!AA28</f>
        <v>19600</v>
      </c>
      <c r="O18" s="12">
        <f>'Fleet growth and revenue'!O13*'Model inputs'!AA28</f>
        <v>23520</v>
      </c>
      <c r="P18" s="12">
        <f>'Fleet growth and revenue'!P13*'Model inputs'!AA28</f>
        <v>27440</v>
      </c>
      <c r="Q18" s="12">
        <f>'Fleet growth and revenue'!Q13*'Model inputs'!AA28</f>
        <v>27440</v>
      </c>
      <c r="R18" s="12">
        <f>'Fleet growth and revenue'!R13*'Model inputs'!AA28</f>
        <v>31360</v>
      </c>
      <c r="S18" s="12">
        <f>'Fleet growth and revenue'!S13*'Model inputs'!AA28</f>
        <v>31360</v>
      </c>
      <c r="T18" s="12">
        <f>'Fleet growth and revenue'!T13*'Model inputs'!AA28</f>
        <v>35280</v>
      </c>
      <c r="U18" s="12">
        <f>'Fleet growth and revenue'!U13*'Model inputs'!AA28</f>
        <v>35280</v>
      </c>
      <c r="V18" s="12">
        <f>'Fleet growth and revenue'!V13*'Model inputs'!AA28</f>
        <v>39200</v>
      </c>
      <c r="W18" s="12">
        <f>'Fleet growth and revenue'!W13*'Model inputs'!AA28</f>
        <v>39200</v>
      </c>
      <c r="X18" s="12">
        <f>'Fleet growth and revenue'!X13*'Model inputs'!AA28</f>
        <v>43120</v>
      </c>
      <c r="Y18" s="12">
        <f>'Fleet growth and revenue'!Y13*'Model inputs'!AA28</f>
        <v>43120</v>
      </c>
    </row>
    <row r="19">
      <c r="A19" t="inlineStr" s="6">
        <is>
          <t xml:space="preserve">Platform fee revenue</t>
        </is>
      </c>
      <c r="B19" s="11">
        <f>SUM('Fleet growth and revenue'!B20,'Fleet growth and revenue'!B21)</f>
        <v>0</v>
      </c>
      <c r="C19" s="11">
        <f>SUM('Fleet growth and revenue'!C20,'Fleet growth and revenue'!C21)</f>
        <v>0</v>
      </c>
      <c r="D19" s="11">
        <f>SUM('Fleet growth and revenue'!D20,'Fleet growth and revenue'!D21)</f>
        <v>0</v>
      </c>
      <c r="E19" s="11">
        <f>SUM('Fleet growth and revenue'!E20,'Fleet growth and revenue'!E21)</f>
        <v>0</v>
      </c>
      <c r="F19" s="11">
        <f>SUM('Fleet growth and revenue'!F20,'Fleet growth and revenue'!F21)</f>
        <v>0</v>
      </c>
      <c r="G19" s="11">
        <f>SUM('Fleet growth and revenue'!G20,'Fleet growth and revenue'!G21)</f>
        <v>1000</v>
      </c>
      <c r="H19" s="11">
        <f>SUM('Fleet growth and revenue'!H20,'Fleet growth and revenue'!H21)</f>
        <v>1000</v>
      </c>
      <c r="I19" s="11">
        <f>SUM('Fleet growth and revenue'!I20,'Fleet growth and revenue'!I21)</f>
        <v>1500</v>
      </c>
      <c r="J19" s="11">
        <f>SUM('Fleet growth and revenue'!J20,'Fleet growth and revenue'!J21)</f>
        <v>1500</v>
      </c>
      <c r="K19" s="11">
        <f>SUM('Fleet growth and revenue'!K20,'Fleet growth and revenue'!K21)</f>
        <v>2000</v>
      </c>
      <c r="L19" s="11">
        <f>SUM('Fleet growth and revenue'!L20,'Fleet growth and revenue'!L21)</f>
        <v>2000</v>
      </c>
      <c r="M19" s="11">
        <f>SUM('Fleet growth and revenue'!M20,'Fleet growth and revenue'!M21)</f>
        <v>2500</v>
      </c>
      <c r="N19" s="11">
        <f>SUM('Fleet growth and revenue'!N20,'Fleet growth and revenue'!N21)</f>
        <v>2500</v>
      </c>
      <c r="O19" s="11">
        <f>SUM('Fleet growth and revenue'!O20,'Fleet growth and revenue'!O21)</f>
        <v>3000</v>
      </c>
      <c r="P19" s="11">
        <f>SUM('Fleet growth and revenue'!P20,'Fleet growth and revenue'!P21)</f>
        <v>3500</v>
      </c>
      <c r="Q19" s="11">
        <f>SUM('Fleet growth and revenue'!Q20,'Fleet growth and revenue'!Q21)</f>
        <v>3500</v>
      </c>
      <c r="R19" s="11">
        <f>SUM('Fleet growth and revenue'!R20,'Fleet growth and revenue'!R21)</f>
        <v>4000</v>
      </c>
      <c r="S19" s="11">
        <f>SUM('Fleet growth and revenue'!S20,'Fleet growth and revenue'!S21)</f>
        <v>4000</v>
      </c>
      <c r="T19" s="11">
        <f>SUM('Fleet growth and revenue'!T20,'Fleet growth and revenue'!T21)</f>
        <v>4500</v>
      </c>
      <c r="U19" s="11">
        <f>SUM('Fleet growth and revenue'!U20,'Fleet growth and revenue'!U21)</f>
        <v>4500</v>
      </c>
      <c r="V19" s="11">
        <f>SUM('Fleet growth and revenue'!V20,'Fleet growth and revenue'!V21)</f>
        <v>5000</v>
      </c>
      <c r="W19" s="11">
        <f>SUM('Fleet growth and revenue'!W20,'Fleet growth and revenue'!W21)</f>
        <v>5000</v>
      </c>
      <c r="X19" s="11">
        <f>SUM('Fleet growth and revenue'!X20,'Fleet growth and revenue'!X21)</f>
        <v>5500</v>
      </c>
      <c r="Y19" s="11">
        <f>SUM('Fleet growth and revenue'!Y20,'Fleet growth and revenue'!Y21)</f>
        <v>5500</v>
      </c>
    </row>
    <row r="20" outlineLevel="1">
      <c r="A20" t="inlineStr" s="10">
        <is>
          <t xml:space="preserve">30-van fleets</t>
        </is>
      </c>
      <c r="B20" s="12">
        <f>'Fleet growth and revenue'!B9*IF(IF(IF(IF(ISERROR(IF(EXACT("30-van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C20" s="12">
        <f>'Fleet growth and revenue'!C9*IF(IF(IF(IF(ISERROR(IF(EXACT("30-van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D20" s="12">
        <f>'Fleet growth and revenue'!D9*IF(IF(IF(IF(ISERROR(IF(EXACT("30-van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E20" s="12">
        <f>'Fleet growth and revenue'!E9*IF(IF(IF(IF(ISERROR(IF(EXACT("30-van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F20" s="12">
        <f>'Fleet growth and revenue'!F9*IF(IF(IF(IF(ISERROR(IF(EXACT("30-van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G20" s="12">
        <f>'Fleet growth and revenue'!G9*IF(IF(IF(IF(ISERROR(IF(EXACT("30-van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H20" s="12">
        <f>'Fleet growth and revenue'!H9*IF(IF(IF(IF(ISERROR(IF(EXACT("30-van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I20" s="12">
        <f>'Fleet growth and revenue'!I9*IF(IF(IF(IF(ISERROR(IF(EXACT("30-van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J20" s="12">
        <f>'Fleet growth and revenue'!J9*IF(IF(IF(IF(ISERROR(IF(EXACT("30-van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K20" s="12">
        <f>'Fleet growth and revenue'!K9*IF(IF(IF(IF(ISERROR(IF(EXACT("30-van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L20" s="12">
        <f>'Fleet growth and revenue'!L9*IF(IF(IF(IF(ISERROR(IF(EXACT("30-van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M20" s="12">
        <f>'Fleet growth and revenue'!M9*IF(IF(IF(IF(ISERROR(IF(EXACT("30-van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N20" s="12">
        <f>'Fleet growth and revenue'!N9*IF(IF(IF(IF(ISERROR(IF(EXACT("30-van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O20" s="12">
        <f>'Fleet growth and revenue'!O9*IF(IF(IF(IF(ISERROR(IF(EXACT("30-van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P20" s="12">
        <f>'Fleet growth and revenue'!P9*IF(IF(IF(IF(ISERROR(IF(EXACT("30-van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Q20" s="12">
        <f>'Fleet growth and revenue'!Q9*IF(IF(IF(IF(ISERROR(IF(EXACT("30-van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R20" s="12">
        <f>'Fleet growth and revenue'!R9*IF(IF(IF(IF(ISERROR(IF(EXACT("30-van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S20" s="12">
        <f>'Fleet growth and revenue'!S9*IF(IF(IF(IF(ISERROR(IF(EXACT("30-van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T20" s="12">
        <f>'Fleet growth and revenue'!T9*IF(IF(IF(IF(ISERROR(IF(EXACT("30-van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U20" s="12">
        <f>'Fleet growth and revenue'!U9*IF(IF(IF(IF(ISERROR(IF(EXACT("30-van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V20" s="12">
        <f>'Fleet growth and revenue'!V9*IF(IF(IF(IF(ISERROR(IF(EXACT("30-van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W20" s="12">
        <f>'Fleet growth and revenue'!W9*IF(IF(IF(IF(ISERROR(IF(EXACT("30-van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X20" s="12">
        <f>'Fleet growth and revenue'!X9*IF(IF(IF(IF(ISERROR(IF(EXACT("30-van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Y20" s="12">
        <f>'Fleet growth and revenue'!Y9*IF(IF(IF(IF(ISERROR(IF(EXACT("30-van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</row>
    <row r="21" outlineLevel="1">
      <c r="A21" t="inlineStr" s="10">
        <is>
          <t xml:space="preserve">80-van fleets</t>
        </is>
      </c>
      <c r="B21" s="12">
        <f>'Fleet growth and revenue'!B10*IF(IF(IF(IF(ISERROR(IF(EXACT("80-van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C21" s="12">
        <f>'Fleet growth and revenue'!C10*IF(IF(IF(IF(ISERROR(IF(EXACT("80-van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D21" s="12">
        <f>'Fleet growth and revenue'!D10*IF(IF(IF(IF(ISERROR(IF(EXACT("80-van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E21" s="12">
        <f>'Fleet growth and revenue'!E10*IF(IF(IF(IF(ISERROR(IF(EXACT("80-van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F21" s="12">
        <f>'Fleet growth and revenue'!F10*IF(IF(IF(IF(ISERROR(IF(EXACT("80-van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G21" s="12">
        <f>'Fleet growth and revenue'!G10*IF(IF(IF(IF(ISERROR(IF(EXACT("80-van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1000</v>
      </c>
      <c r="H21" s="12">
        <f>'Fleet growth and revenue'!H10*IF(IF(IF(IF(ISERROR(IF(EXACT("80-van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1000</v>
      </c>
      <c r="I21" s="12">
        <f>'Fleet growth and revenue'!I10*IF(IF(IF(IF(ISERROR(IF(EXACT("80-van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1500</v>
      </c>
      <c r="J21" s="12">
        <f>'Fleet growth and revenue'!J10*IF(IF(IF(IF(ISERROR(IF(EXACT("80-van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1500</v>
      </c>
      <c r="K21" s="12">
        <f>'Fleet growth and revenue'!K10*IF(IF(IF(IF(ISERROR(IF(EXACT("80-van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2000</v>
      </c>
      <c r="L21" s="12">
        <f>'Fleet growth and revenue'!L10*IF(IF(IF(IF(ISERROR(IF(EXACT("80-van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2000</v>
      </c>
      <c r="M21" s="12">
        <f>'Fleet growth and revenue'!M10*IF(IF(IF(IF(ISERROR(IF(EXACT("80-van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2500</v>
      </c>
      <c r="N21" s="12">
        <f>'Fleet growth and revenue'!N10*IF(IF(IF(IF(ISERROR(IF(EXACT("80-van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2500</v>
      </c>
      <c r="O21" s="12">
        <f>'Fleet growth and revenue'!O10*IF(IF(IF(IF(ISERROR(IF(EXACT("80-van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3000</v>
      </c>
      <c r="P21" s="12">
        <f>'Fleet growth and revenue'!P10*IF(IF(IF(IF(ISERROR(IF(EXACT("80-van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3500</v>
      </c>
      <c r="Q21" s="12">
        <f>'Fleet growth and revenue'!Q10*IF(IF(IF(IF(ISERROR(IF(EXACT("80-van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3500</v>
      </c>
      <c r="R21" s="12">
        <f>'Fleet growth and revenue'!R10*IF(IF(IF(IF(ISERROR(IF(EXACT("80-van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4000</v>
      </c>
      <c r="S21" s="12">
        <f>'Fleet growth and revenue'!S10*IF(IF(IF(IF(ISERROR(IF(EXACT("80-van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4000</v>
      </c>
      <c r="T21" s="12">
        <f>'Fleet growth and revenue'!T10*IF(IF(IF(IF(ISERROR(IF(EXACT("80-van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4500</v>
      </c>
      <c r="U21" s="12">
        <f>'Fleet growth and revenue'!U10*IF(IF(IF(IF(ISERROR(IF(EXACT("80-van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4500</v>
      </c>
      <c r="V21" s="12">
        <f>'Fleet growth and revenue'!V10*IF(IF(IF(IF(ISERROR(IF(EXACT("80-van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5000</v>
      </c>
      <c r="W21" s="12">
        <f>'Fleet growth and revenue'!W10*IF(IF(IF(IF(ISERROR(IF(EXACT("80-van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5000</v>
      </c>
      <c r="X21" s="12">
        <f>'Fleet growth and revenue'!X10*IF(IF(IF(IF(ISERROR(IF(EXACT("80-van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5500</v>
      </c>
      <c r="Y21" s="12">
        <f>'Fleet growth and revenue'!Y10*IF(IF(IF(IF(ISERROR(IF(EXACT("80-van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5500</v>
      </c>
    </row>
    <row r="22">
      <c r="A22" t="inlineStr" s="6">
        <is>
          <t xml:space="preserve">Gross monthly billing</t>
        </is>
      </c>
      <c r="B22" s="11">
        <f>SUM('Fleet growth and revenue'!B23,'Fleet growth and revenue'!B24)</f>
        <v>0</v>
      </c>
      <c r="C22" s="11">
        <f>SUM('Fleet growth and revenue'!C23,'Fleet growth and revenue'!C24)</f>
        <v>0</v>
      </c>
      <c r="D22" s="11">
        <f>SUM('Fleet growth and revenue'!D23,'Fleet growth and revenue'!D24)</f>
        <v>4410</v>
      </c>
      <c r="E22" s="11">
        <f>SUM('Fleet growth and revenue'!E23,'Fleet growth and revenue'!E24)</f>
        <v>8820</v>
      </c>
      <c r="F22" s="11">
        <f>SUM('Fleet growth and revenue'!F23,'Fleet growth and revenue'!F24)</f>
        <v>11760</v>
      </c>
      <c r="G22" s="11">
        <f>SUM('Fleet growth and revenue'!G23,'Fleet growth and revenue'!G24)</f>
        <v>22070</v>
      </c>
      <c r="H22" s="11">
        <f>SUM('Fleet growth and revenue'!H23,'Fleet growth and revenue'!H24)</f>
        <v>26480</v>
      </c>
      <c r="I22" s="11">
        <f>SUM('Fleet growth and revenue'!I23,'Fleet growth and revenue'!I24)</f>
        <v>33840</v>
      </c>
      <c r="J22" s="11">
        <f>SUM('Fleet growth and revenue'!J23,'Fleet growth and revenue'!J24)</f>
        <v>36780</v>
      </c>
      <c r="K22" s="11">
        <f>SUM('Fleet growth and revenue'!K23,'Fleet growth and revenue'!K24)</f>
        <v>44140</v>
      </c>
      <c r="L22" s="11">
        <f>SUM('Fleet growth and revenue'!L23,'Fleet growth and revenue'!L24)</f>
        <v>48550</v>
      </c>
      <c r="M22" s="11">
        <f>SUM('Fleet growth and revenue'!M23,'Fleet growth and revenue'!M24)</f>
        <v>54440</v>
      </c>
      <c r="N22" s="11">
        <f>SUM('Fleet growth and revenue'!N23,'Fleet growth and revenue'!N24)</f>
        <v>58850</v>
      </c>
      <c r="O22" s="11">
        <f>SUM('Fleet growth and revenue'!O23,'Fleet growth and revenue'!O24)</f>
        <v>66210</v>
      </c>
      <c r="P22" s="11">
        <f>SUM('Fleet growth and revenue'!P23,'Fleet growth and revenue'!P24)</f>
        <v>73570</v>
      </c>
      <c r="Q22" s="11">
        <f>SUM('Fleet growth and revenue'!Q23,'Fleet growth and revenue'!Q24)</f>
        <v>76510</v>
      </c>
      <c r="R22" s="11">
        <f>SUM('Fleet growth and revenue'!R23,'Fleet growth and revenue'!R24)</f>
        <v>83870</v>
      </c>
      <c r="S22" s="11">
        <f>SUM('Fleet growth and revenue'!S23,'Fleet growth and revenue'!S24)</f>
        <v>88280</v>
      </c>
      <c r="T22" s="11">
        <f>SUM('Fleet growth and revenue'!T23,'Fleet growth and revenue'!T24)</f>
        <v>94170</v>
      </c>
      <c r="U22" s="11">
        <f>SUM('Fleet growth and revenue'!U23,'Fleet growth and revenue'!U24)</f>
        <v>98580</v>
      </c>
      <c r="V22" s="11">
        <f>SUM('Fleet growth and revenue'!V23,'Fleet growth and revenue'!V24)</f>
        <v>105940</v>
      </c>
      <c r="W22" s="11">
        <f>SUM('Fleet growth and revenue'!W23,'Fleet growth and revenue'!W24)</f>
        <v>110350</v>
      </c>
      <c r="X22" s="11">
        <f>SUM('Fleet growth and revenue'!X23,'Fleet growth and revenue'!X24)</f>
        <v>116240</v>
      </c>
      <c r="Y22" s="11">
        <f>SUM('Fleet growth and revenue'!Y23,'Fleet growth and revenue'!Y24)</f>
        <v>120650</v>
      </c>
    </row>
    <row r="23" outlineLevel="1">
      <c r="A23" t="inlineStr" s="10">
        <is>
          <t xml:space="preserve">30-van fleets</t>
        </is>
      </c>
      <c r="B23" s="12">
        <f>'Fleet growth and revenue'!B17+'Fleet growth and revenue'!B20</f>
        <v>0</v>
      </c>
      <c r="C23" s="12">
        <f>'Fleet growth and revenue'!C17+'Fleet growth and revenue'!C20</f>
        <v>0</v>
      </c>
      <c r="D23" s="12">
        <f>'Fleet growth and revenue'!D17+'Fleet growth and revenue'!D20</f>
        <v>4410</v>
      </c>
      <c r="E23" s="12">
        <f>'Fleet growth and revenue'!E17+'Fleet growth and revenue'!E20</f>
        <v>8820</v>
      </c>
      <c r="F23" s="12">
        <f>'Fleet growth and revenue'!F17+'Fleet growth and revenue'!F20</f>
        <v>11760</v>
      </c>
      <c r="G23" s="12">
        <f>'Fleet growth and revenue'!G17+'Fleet growth and revenue'!G20</f>
        <v>13230</v>
      </c>
      <c r="H23" s="12">
        <f>'Fleet growth and revenue'!H17+'Fleet growth and revenue'!H20</f>
        <v>17640</v>
      </c>
      <c r="I23" s="12">
        <f>'Fleet growth and revenue'!I17+'Fleet growth and revenue'!I20</f>
        <v>20580</v>
      </c>
      <c r="J23" s="12">
        <f>'Fleet growth and revenue'!J17+'Fleet growth and revenue'!J20</f>
        <v>23520</v>
      </c>
      <c r="K23" s="12">
        <f>'Fleet growth and revenue'!K17+'Fleet growth and revenue'!K20</f>
        <v>26460</v>
      </c>
      <c r="L23" s="12">
        <f>'Fleet growth and revenue'!L17+'Fleet growth and revenue'!L20</f>
        <v>30870</v>
      </c>
      <c r="M23" s="12">
        <f>'Fleet growth and revenue'!M17+'Fleet growth and revenue'!M20</f>
        <v>32340</v>
      </c>
      <c r="N23" s="12">
        <f>'Fleet growth and revenue'!N17+'Fleet growth and revenue'!N20</f>
        <v>36750</v>
      </c>
      <c r="O23" s="12">
        <f>'Fleet growth and revenue'!O17+'Fleet growth and revenue'!O20</f>
        <v>39690</v>
      </c>
      <c r="P23" s="12">
        <f>'Fleet growth and revenue'!P17+'Fleet growth and revenue'!P20</f>
        <v>42630</v>
      </c>
      <c r="Q23" s="12">
        <f>'Fleet growth and revenue'!Q17+'Fleet growth and revenue'!Q20</f>
        <v>45570</v>
      </c>
      <c r="R23" s="12">
        <f>'Fleet growth and revenue'!R17+'Fleet growth and revenue'!R20</f>
        <v>48510</v>
      </c>
      <c r="S23" s="12">
        <f>'Fleet growth and revenue'!S17+'Fleet growth and revenue'!S20</f>
        <v>52920</v>
      </c>
      <c r="T23" s="12">
        <f>'Fleet growth and revenue'!T17+'Fleet growth and revenue'!T20</f>
        <v>54390</v>
      </c>
      <c r="U23" s="12">
        <f>'Fleet growth and revenue'!U17+'Fleet growth and revenue'!U20</f>
        <v>58800</v>
      </c>
      <c r="V23" s="12">
        <f>'Fleet growth and revenue'!V17+'Fleet growth and revenue'!V20</f>
        <v>61740</v>
      </c>
      <c r="W23" s="12">
        <f>'Fleet growth and revenue'!W17+'Fleet growth and revenue'!W20</f>
        <v>66150</v>
      </c>
      <c r="X23" s="12">
        <f>'Fleet growth and revenue'!X17+'Fleet growth and revenue'!X20</f>
        <v>67620</v>
      </c>
      <c r="Y23" s="12">
        <f>'Fleet growth and revenue'!Y17+'Fleet growth and revenue'!Y20</f>
        <v>72030</v>
      </c>
    </row>
    <row r="24" outlineLevel="1">
      <c r="A24" t="inlineStr" s="10">
        <is>
          <t xml:space="preserve">80-van fleets</t>
        </is>
      </c>
      <c r="B24" s="12">
        <f>'Fleet growth and revenue'!B18+'Fleet growth and revenue'!B21</f>
        <v>0</v>
      </c>
      <c r="C24" s="12">
        <f>'Fleet growth and revenue'!C18+'Fleet growth and revenue'!C21</f>
        <v>0</v>
      </c>
      <c r="D24" s="12">
        <f>'Fleet growth and revenue'!D18+'Fleet growth and revenue'!D21</f>
        <v>0</v>
      </c>
      <c r="E24" s="12">
        <f>'Fleet growth and revenue'!E18+'Fleet growth and revenue'!E21</f>
        <v>0</v>
      </c>
      <c r="F24" s="12">
        <f>'Fleet growth and revenue'!F18+'Fleet growth and revenue'!F21</f>
        <v>0</v>
      </c>
      <c r="G24" s="12">
        <f>'Fleet growth and revenue'!G18+'Fleet growth and revenue'!G21</f>
        <v>8840</v>
      </c>
      <c r="H24" s="12">
        <f>'Fleet growth and revenue'!H18+'Fleet growth and revenue'!H21</f>
        <v>8840</v>
      </c>
      <c r="I24" s="12">
        <f>'Fleet growth and revenue'!I18+'Fleet growth and revenue'!I21</f>
        <v>13260</v>
      </c>
      <c r="J24" s="12">
        <f>'Fleet growth and revenue'!J18+'Fleet growth and revenue'!J21</f>
        <v>13260</v>
      </c>
      <c r="K24" s="12">
        <f>'Fleet growth and revenue'!K18+'Fleet growth and revenue'!K21</f>
        <v>17680</v>
      </c>
      <c r="L24" s="12">
        <f>'Fleet growth and revenue'!L18+'Fleet growth and revenue'!L21</f>
        <v>17680</v>
      </c>
      <c r="M24" s="12">
        <f>'Fleet growth and revenue'!M18+'Fleet growth and revenue'!M21</f>
        <v>22100</v>
      </c>
      <c r="N24" s="12">
        <f>'Fleet growth and revenue'!N18+'Fleet growth and revenue'!N21</f>
        <v>22100</v>
      </c>
      <c r="O24" s="12">
        <f>'Fleet growth and revenue'!O18+'Fleet growth and revenue'!O21</f>
        <v>26520</v>
      </c>
      <c r="P24" s="12">
        <f>'Fleet growth and revenue'!P18+'Fleet growth and revenue'!P21</f>
        <v>30940</v>
      </c>
      <c r="Q24" s="12">
        <f>'Fleet growth and revenue'!Q18+'Fleet growth and revenue'!Q21</f>
        <v>30940</v>
      </c>
      <c r="R24" s="12">
        <f>'Fleet growth and revenue'!R18+'Fleet growth and revenue'!R21</f>
        <v>35360</v>
      </c>
      <c r="S24" s="12">
        <f>'Fleet growth and revenue'!S18+'Fleet growth and revenue'!S21</f>
        <v>35360</v>
      </c>
      <c r="T24" s="12">
        <f>'Fleet growth and revenue'!T18+'Fleet growth and revenue'!T21</f>
        <v>39780</v>
      </c>
      <c r="U24" s="12">
        <f>'Fleet growth and revenue'!U18+'Fleet growth and revenue'!U21</f>
        <v>39780</v>
      </c>
      <c r="V24" s="12">
        <f>'Fleet growth and revenue'!V18+'Fleet growth and revenue'!V21</f>
        <v>44200</v>
      </c>
      <c r="W24" s="12">
        <f>'Fleet growth and revenue'!W18+'Fleet growth and revenue'!W21</f>
        <v>44200</v>
      </c>
      <c r="X24" s="12">
        <f>'Fleet growth and revenue'!X18+'Fleet growth and revenue'!X21</f>
        <v>48620</v>
      </c>
      <c r="Y24" s="12">
        <f>'Fleet growth and revenue'!Y18+'Fleet growth and revenue'!Y21</f>
        <v>48620</v>
      </c>
    </row>
    <row r="25">
      <c r="A25" t="inlineStr" s="8">
        <is>
          <t xml:space="preserve">Service credits</t>
        </is>
      </c>
      <c r="B25" s="12">
        <f>'Fleet growth and revenue'!B22*'Model inputs'!AA26</f>
        <v>0</v>
      </c>
      <c r="C25" s="12">
        <f>'Fleet growth and revenue'!C22*'Model inputs'!AA26</f>
        <v>0</v>
      </c>
      <c r="D25" s="12">
        <f>'Fleet growth and revenue'!D22*'Model inputs'!AA26</f>
        <v>44.1</v>
      </c>
      <c r="E25" s="12">
        <f>'Fleet growth and revenue'!E22*'Model inputs'!AA26</f>
        <v>88.2</v>
      </c>
      <c r="F25" s="12">
        <f>'Fleet growth and revenue'!F22*'Model inputs'!AA26</f>
        <v>117.60000000000001</v>
      </c>
      <c r="G25" s="12">
        <f>'Fleet growth and revenue'!G22*'Model inputs'!AA26</f>
        <v>220.70000000000002</v>
      </c>
      <c r="H25" s="12">
        <f>'Fleet growth and revenue'!H22*'Model inputs'!AA26</f>
        <v>264.8</v>
      </c>
      <c r="I25" s="12">
        <f>'Fleet growth and revenue'!I22*'Model inputs'!AA26</f>
        <v>338.40000000000003</v>
      </c>
      <c r="J25" s="12">
        <f>'Fleet growth and revenue'!J22*'Model inputs'!AA26</f>
        <v>367.8</v>
      </c>
      <c r="K25" s="12">
        <f>'Fleet growth and revenue'!K22*'Model inputs'!AA26</f>
        <v>441.40000000000003</v>
      </c>
      <c r="L25" s="12">
        <f>'Fleet growth and revenue'!L22*'Model inputs'!AA26</f>
        <v>485.5</v>
      </c>
      <c r="M25" s="12">
        <f>'Fleet growth and revenue'!M22*'Model inputs'!AA26</f>
        <v>544.4</v>
      </c>
      <c r="N25" s="12">
        <f>'Fleet growth and revenue'!N22*'Model inputs'!AA26</f>
        <v>588.5</v>
      </c>
      <c r="O25" s="12">
        <f>'Fleet growth and revenue'!O22*'Model inputs'!AA26</f>
        <v>662.1</v>
      </c>
      <c r="P25" s="12">
        <f>'Fleet growth and revenue'!P22*'Model inputs'!AA26</f>
        <v>735.7</v>
      </c>
      <c r="Q25" s="12">
        <f>'Fleet growth and revenue'!Q22*'Model inputs'!AA26</f>
        <v>765.1</v>
      </c>
      <c r="R25" s="12">
        <f>'Fleet growth and revenue'!R22*'Model inputs'!AA26</f>
        <v>838.7</v>
      </c>
      <c r="S25" s="12">
        <f>'Fleet growth and revenue'!S22*'Model inputs'!AA26</f>
        <v>882.8000000000001</v>
      </c>
      <c r="T25" s="12">
        <f>'Fleet growth and revenue'!T22*'Model inputs'!AA26</f>
        <v>941.7</v>
      </c>
      <c r="U25" s="12">
        <f>'Fleet growth and revenue'!U22*'Model inputs'!AA26</f>
        <v>985.8000000000001</v>
      </c>
      <c r="V25" s="12">
        <f>'Fleet growth and revenue'!V22*'Model inputs'!AA26</f>
        <v>1059.4</v>
      </c>
      <c r="W25" s="12">
        <f>'Fleet growth and revenue'!W22*'Model inputs'!AA26</f>
        <v>1103.5</v>
      </c>
      <c r="X25" s="12">
        <f>'Fleet growth and revenue'!X22*'Model inputs'!AA26</f>
        <v>1162.4</v>
      </c>
      <c r="Y25" s="12">
        <f>'Fleet growth and revenue'!Y22*'Model inputs'!AA26</f>
        <v>1206.5</v>
      </c>
    </row>
    <row r="26">
      <c r="A26" t="inlineStr" s="8">
        <is>
          <t xml:space="preserve">Net revenue</t>
        </is>
      </c>
      <c r="B26" s="12">
        <f>'Fleet growth and revenue'!B22-'Fleet growth and revenue'!B25</f>
        <v>0</v>
      </c>
      <c r="C26" s="12">
        <f>'Fleet growth and revenue'!C22-'Fleet growth and revenue'!C25</f>
        <v>0</v>
      </c>
      <c r="D26" s="12">
        <f>'Fleet growth and revenue'!D22-'Fleet growth and revenue'!D25</f>
        <v>4365.9</v>
      </c>
      <c r="E26" s="12">
        <f>'Fleet growth and revenue'!E22-'Fleet growth and revenue'!E25</f>
        <v>8731.8</v>
      </c>
      <c r="F26" s="12">
        <f>'Fleet growth and revenue'!F22-'Fleet growth and revenue'!F25</f>
        <v>11642.4</v>
      </c>
      <c r="G26" s="12">
        <f>'Fleet growth and revenue'!G22-'Fleet growth and revenue'!G25</f>
        <v>21849.3</v>
      </c>
      <c r="H26" s="12">
        <f>'Fleet growth and revenue'!H22-'Fleet growth and revenue'!H25</f>
        <v>26215.2</v>
      </c>
      <c r="I26" s="12">
        <f>'Fleet growth and revenue'!I22-'Fleet growth and revenue'!I25</f>
        <v>33501.6</v>
      </c>
      <c r="J26" s="12">
        <f>'Fleet growth and revenue'!J22-'Fleet growth and revenue'!J25</f>
        <v>36412.2</v>
      </c>
      <c r="K26" s="12">
        <f>'Fleet growth and revenue'!K22-'Fleet growth and revenue'!K25</f>
        <v>43698.6</v>
      </c>
      <c r="L26" s="12">
        <f>'Fleet growth and revenue'!L22-'Fleet growth and revenue'!L25</f>
        <v>48064.5</v>
      </c>
      <c r="M26" s="12">
        <f>'Fleet growth and revenue'!M22-'Fleet growth and revenue'!M25</f>
        <v>53895.6</v>
      </c>
      <c r="N26" s="12">
        <f>'Fleet growth and revenue'!N22-'Fleet growth and revenue'!N25</f>
        <v>58261.5</v>
      </c>
      <c r="O26" s="12">
        <f>'Fleet growth and revenue'!O22-'Fleet growth and revenue'!O25</f>
        <v>65547.9</v>
      </c>
      <c r="P26" s="12">
        <f>'Fleet growth and revenue'!P22-'Fleet growth and revenue'!P25</f>
        <v>72834.3</v>
      </c>
      <c r="Q26" s="12">
        <f>'Fleet growth and revenue'!Q22-'Fleet growth and revenue'!Q25</f>
        <v>75744.9</v>
      </c>
      <c r="R26" s="12">
        <f>'Fleet growth and revenue'!R22-'Fleet growth and revenue'!R25</f>
        <v>83031.3</v>
      </c>
      <c r="S26" s="12">
        <f>'Fleet growth and revenue'!S22-'Fleet growth and revenue'!S25</f>
        <v>87397.2</v>
      </c>
      <c r="T26" s="12">
        <f>'Fleet growth and revenue'!T22-'Fleet growth and revenue'!T25</f>
        <v>93228.3</v>
      </c>
      <c r="U26" s="12">
        <f>'Fleet growth and revenue'!U22-'Fleet growth and revenue'!U25</f>
        <v>97594.2</v>
      </c>
      <c r="V26" s="12">
        <f>'Fleet growth and revenue'!V22-'Fleet growth and revenue'!V25</f>
        <v>104880.6</v>
      </c>
      <c r="W26" s="12">
        <f>'Fleet growth and revenue'!W22-'Fleet growth and revenue'!W25</f>
        <v>109246.5</v>
      </c>
      <c r="X26" s="12">
        <f>'Fleet growth and revenue'!X22-'Fleet growth and revenue'!X25</f>
        <v>115077.6</v>
      </c>
      <c r="Y26" s="12">
        <f>'Fleet growth and revenue'!Y22-'Fleet growth and revenue'!Y25</f>
        <v>119443.5</v>
      </c>
    </row>
    <row r="27">
      <c r="A27" t="inlineStr" s="6">
        <is>
          <t xml:space="preserve">Annual recurring run rate</t>
        </is>
      </c>
      <c r="B27" s="11">
        <f>'Fleet growth and revenue'!B22*12</f>
        <v>0</v>
      </c>
      <c r="C27" s="11">
        <f>'Fleet growth and revenue'!C22*12</f>
        <v>0</v>
      </c>
      <c r="D27" s="11">
        <f>'Fleet growth and revenue'!D22*12</f>
        <v>52920</v>
      </c>
      <c r="E27" s="11">
        <f>'Fleet growth and revenue'!E22*12</f>
        <v>105840</v>
      </c>
      <c r="F27" s="11">
        <f>'Fleet growth and revenue'!F22*12</f>
        <v>141120</v>
      </c>
      <c r="G27" s="11">
        <f>'Fleet growth and revenue'!G22*12</f>
        <v>264840</v>
      </c>
      <c r="H27" s="11">
        <f>'Fleet growth and revenue'!H22*12</f>
        <v>317760</v>
      </c>
      <c r="I27" s="11">
        <f>'Fleet growth and revenue'!I22*12</f>
        <v>406080</v>
      </c>
      <c r="J27" s="11">
        <f>'Fleet growth and revenue'!J22*12</f>
        <v>441360</v>
      </c>
      <c r="K27" s="11">
        <f>'Fleet growth and revenue'!K22*12</f>
        <v>529680</v>
      </c>
      <c r="L27" s="11">
        <f>'Fleet growth and revenue'!L22*12</f>
        <v>582600</v>
      </c>
      <c r="M27" s="11">
        <f>'Fleet growth and revenue'!M22*12</f>
        <v>653280</v>
      </c>
      <c r="N27" s="11">
        <f>'Fleet growth and revenue'!N22*12</f>
        <v>706200</v>
      </c>
      <c r="O27" s="11">
        <f>'Fleet growth and revenue'!O22*12</f>
        <v>794520</v>
      </c>
      <c r="P27" s="11">
        <f>'Fleet growth and revenue'!P22*12</f>
        <v>882840</v>
      </c>
      <c r="Q27" s="11">
        <f>'Fleet growth and revenue'!Q22*12</f>
        <v>918120</v>
      </c>
      <c r="R27" s="11">
        <f>'Fleet growth and revenue'!R22*12</f>
        <v>1006440</v>
      </c>
      <c r="S27" s="11">
        <f>'Fleet growth and revenue'!S22*12</f>
        <v>1059360</v>
      </c>
      <c r="T27" s="11">
        <f>'Fleet growth and revenue'!T22*12</f>
        <v>1130040</v>
      </c>
      <c r="U27" s="11">
        <f>'Fleet growth and revenue'!U22*12</f>
        <v>1182960</v>
      </c>
      <c r="V27" s="11">
        <f>'Fleet growth and revenue'!V22*12</f>
        <v>1271280</v>
      </c>
      <c r="W27" s="11">
        <f>'Fleet growth and revenue'!W22*12</f>
        <v>1324200</v>
      </c>
      <c r="X27" s="11">
        <f>'Fleet growth and revenue'!X22*12</f>
        <v>1394880</v>
      </c>
      <c r="Y27" s="11">
        <f>'Fleet growth and revenue'!Y22*12</f>
        <v>1447800</v>
      </c>
    </row>
  </sheetData>
  <mergeCells count="1">
    <mergeCell ref="A1:Y1"/>
  </mergeCells>
</worksheet>
</file>

<file path=xl/worksheets/sheet2.xml><?xml version="1.0" encoding="utf-8"?>
<worksheet xmlns="http://schemas.openxmlformats.org/spreadsheetml/2006/main">
  <dimension ref="A1:Y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</cols>
  <sheetData>
    <row r="1" ht="32" customHeight="1">
      <c r="A1" t="inlineStr" s="1">
        <is>
          <t xml:space="preserve">Van unit economics and customer value</t>
        </is>
      </c>
    </row>
    <row r="2" ht="20" customHeight="1">
      <c r="A2" t="inlineStr" s="2">
        <is>
          <t xml:space="preserve">Detour — Revenue and van economics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2026-10</t>
        </is>
      </c>
      <c r="C4" t="inlineStr" s="5">
        <is>
          <t xml:space="preserve">2026-11</t>
        </is>
      </c>
      <c r="D4" t="inlineStr" s="5">
        <is>
          <t xml:space="preserve">2026-12</t>
        </is>
      </c>
      <c r="E4" t="inlineStr" s="4">
        <is>
          <t xml:space="preserve">2027-01</t>
        </is>
      </c>
      <c r="F4" t="inlineStr" s="5">
        <is>
          <t xml:space="preserve">2027-02</t>
        </is>
      </c>
      <c r="G4" t="inlineStr" s="5">
        <is>
          <t xml:space="preserve">2027-03</t>
        </is>
      </c>
      <c r="H4" t="inlineStr" s="4">
        <is>
          <t xml:space="preserve">2027-04</t>
        </is>
      </c>
      <c r="I4" t="inlineStr" s="5">
        <is>
          <t xml:space="preserve">2027-05</t>
        </is>
      </c>
      <c r="J4" t="inlineStr" s="5">
        <is>
          <t xml:space="preserve">2027-06</t>
        </is>
      </c>
      <c r="K4" t="inlineStr" s="4">
        <is>
          <t xml:space="preserve">2027-07</t>
        </is>
      </c>
      <c r="L4" t="inlineStr" s="5">
        <is>
          <t xml:space="preserve">2027-08</t>
        </is>
      </c>
      <c r="M4" t="inlineStr" s="5">
        <is>
          <t xml:space="preserve">2027-09</t>
        </is>
      </c>
      <c r="N4" t="inlineStr" s="4">
        <is>
          <t xml:space="preserve">2027-10</t>
        </is>
      </c>
      <c r="O4" t="inlineStr" s="5">
        <is>
          <t xml:space="preserve">2027-11</t>
        </is>
      </c>
      <c r="P4" t="inlineStr" s="5">
        <is>
          <t xml:space="preserve">2027-12</t>
        </is>
      </c>
      <c r="Q4" t="inlineStr" s="4">
        <is>
          <t xml:space="preserve">2028-01</t>
        </is>
      </c>
      <c r="R4" t="inlineStr" s="5">
        <is>
          <t xml:space="preserve">2028-02</t>
        </is>
      </c>
      <c r="S4" t="inlineStr" s="5">
        <is>
          <t xml:space="preserve">2028-03</t>
        </is>
      </c>
      <c r="T4" t="inlineStr" s="4">
        <is>
          <t xml:space="preserve">2028-04</t>
        </is>
      </c>
      <c r="U4" t="inlineStr" s="5">
        <is>
          <t xml:space="preserve">2028-05</t>
        </is>
      </c>
      <c r="V4" t="inlineStr" s="5">
        <is>
          <t xml:space="preserve">2028-06</t>
        </is>
      </c>
      <c r="W4" t="inlineStr" s="4">
        <is>
          <t xml:space="preserve">2028-07</t>
        </is>
      </c>
      <c r="X4" t="inlineStr" s="5">
        <is>
          <t xml:space="preserve">2028-08</t>
        </is>
      </c>
      <c r="Y4" t="inlineStr" s="5">
        <is>
          <t xml:space="preserve">2028-09</t>
        </is>
      </c>
    </row>
    <row r="5">
      <c r="A5" t="inlineStr" s="6">
        <is>
          <t xml:space="preserve">Monthly revenue per van</t>
        </is>
      </c>
      <c r="B5" t="str" s="11">
        <f>IFERROR('Fleet growth and revenue'!B22/'Fleet growth and revenue'!B11,"")</f>
        <v/>
      </c>
      <c r="C5" t="str" s="11">
        <f>IFERROR('Fleet growth and revenue'!C22/'Fleet growth and revenue'!C11,"")</f>
        <v/>
      </c>
      <c r="D5" s="11">
        <f>IFERROR('Fleet growth and revenue'!D22/'Fleet growth and revenue'!D11,"")</f>
        <v>49</v>
      </c>
      <c r="E5" s="11">
        <f>IFERROR('Fleet growth and revenue'!E22/'Fleet growth and revenue'!E11,"")</f>
        <v>49</v>
      </c>
      <c r="F5" s="11">
        <f>IFERROR('Fleet growth and revenue'!F22/'Fleet growth and revenue'!F11,"")</f>
        <v>49</v>
      </c>
      <c r="G5" s="11">
        <f>IFERROR('Fleet growth and revenue'!G22/'Fleet growth and revenue'!G11,"")</f>
        <v>51.325581395348834</v>
      </c>
      <c r="H5" s="11">
        <f>IFERROR('Fleet growth and revenue'!H22/'Fleet growth and revenue'!H11,"")</f>
        <v>50.92307692307692</v>
      </c>
      <c r="I5" s="11">
        <f>IFERROR('Fleet growth and revenue'!I22/'Fleet growth and revenue'!I11,"")</f>
        <v>51.27272727272727</v>
      </c>
      <c r="J5" s="11">
        <f>IFERROR('Fleet growth and revenue'!J22/'Fleet growth and revenue'!J11,"")</f>
        <v>51.083333333333336</v>
      </c>
      <c r="K5" s="11">
        <f>IFERROR('Fleet growth and revenue'!K22/'Fleet growth and revenue'!K11,"")</f>
        <v>51.325581395348834</v>
      </c>
      <c r="L5" s="11">
        <f>IFERROR('Fleet growth and revenue'!L22/'Fleet growth and revenue'!L11,"")</f>
        <v>51.10526315789474</v>
      </c>
      <c r="M5" s="11">
        <f>IFERROR('Fleet growth and revenue'!M22/'Fleet growth and revenue'!M11,"")</f>
        <v>51.35849056603774</v>
      </c>
      <c r="N5" s="11">
        <f>IFERROR('Fleet growth and revenue'!N22/'Fleet growth and revenue'!N11,"")</f>
        <v>51.17391304347826</v>
      </c>
      <c r="O5" s="11">
        <f>IFERROR('Fleet growth and revenue'!O22/'Fleet growth and revenue'!O11,"")</f>
        <v>51.325581395348834</v>
      </c>
      <c r="P5" s="11">
        <f>IFERROR('Fleet growth and revenue'!P22/'Fleet growth and revenue'!P11,"")</f>
        <v>51.44755244755245</v>
      </c>
      <c r="Q5" s="11">
        <f>IFERROR('Fleet growth and revenue'!Q22/'Fleet growth and revenue'!Q11,"")</f>
        <v>51.348993288590606</v>
      </c>
      <c r="R5" s="11">
        <f>IFERROR('Fleet growth and revenue'!R22/'Fleet growth and revenue'!R11,"")</f>
        <v>51.45398773006135</v>
      </c>
      <c r="S5" s="11">
        <f>IFERROR('Fleet growth and revenue'!S22/'Fleet growth and revenue'!S11,"")</f>
        <v>51.325581395348834</v>
      </c>
      <c r="T5" s="11">
        <f>IFERROR('Fleet growth and revenue'!T22/'Fleet growth and revenue'!T11,"")</f>
        <v>51.459016393442624</v>
      </c>
      <c r="U5" s="11">
        <f>IFERROR('Fleet growth and revenue'!U22/'Fleet growth and revenue'!U11,"")</f>
        <v>51.34375</v>
      </c>
      <c r="V5" s="11">
        <f>IFERROR('Fleet growth and revenue'!V22/'Fleet growth and revenue'!V11,"")</f>
        <v>51.42718446601942</v>
      </c>
      <c r="W5" s="11">
        <f>IFERROR('Fleet growth and revenue'!W22/'Fleet growth and revenue'!W11,"")</f>
        <v>51.325581395348834</v>
      </c>
      <c r="X5" s="11">
        <f>IFERROR('Fleet growth and revenue'!X22/'Fleet growth and revenue'!X11,"")</f>
        <v>51.43362831858407</v>
      </c>
      <c r="Y5" s="11">
        <f>IFERROR('Fleet growth and revenue'!Y22/'Fleet growth and revenue'!Y11,"")</f>
        <v>51.340425531914896</v>
      </c>
    </row>
    <row r="6" outlineLevel="1">
      <c r="A6" t="inlineStr" s="10">
        <is>
          <t xml:space="preserve">30-van fleets</t>
        </is>
      </c>
      <c r="B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C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D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E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F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G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H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I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J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K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L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M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N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O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P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Q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R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S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T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U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V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W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X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  <c r="Y6" s="12">
        <f>'Model inputs'!AA28+IF(IF(IF(IF(ISERROR(IF(EXACT("30-van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inputs'!AA24))),'Model inputs'!AA11/IF(IF(EXACT("30-van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inputs'!AA27))),0))</f>
        <v>49</v>
      </c>
    </row>
    <row r="7" outlineLevel="1">
      <c r="A7" t="inlineStr" s="10">
        <is>
          <t xml:space="preserve">80-van fleets</t>
        </is>
      </c>
      <c r="B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C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D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E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F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G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H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I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J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K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L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M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N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O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P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Q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R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S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T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U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V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W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X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  <c r="Y7" s="12">
        <f>'Model inputs'!AA28+IF(IF(IF(IF(ISERROR(IF(EXACT("80-van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inputs'!AA24))),'Model inputs'!AA11/IF(IF(EXACT("80-van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inputs'!AA27))),0))</f>
        <v>55.25</v>
      </c>
    </row>
    <row r="8">
      <c r="A8" t="inlineStr" s="8">
        <is>
          <t xml:space="preserve">Direct AI and maps per van</t>
        </is>
      </c>
      <c r="B8" s="12">
        <f>'Model inputs'!AA7*DAY(EOMONTH(DATE(2026,10,1),0))+'Model inputs'!AA18</f>
        <v>14.4</v>
      </c>
      <c r="C8" s="12">
        <f>'Model inputs'!AA7*DAY(EOMONTH(DATE(2026,11,1),0))+'Model inputs'!AA18</f>
        <v>14</v>
      </c>
      <c r="D8" s="12">
        <f>'Model inputs'!AA7*DAY(EOMONTH(DATE(2026,12,1),0))+'Model inputs'!AA18</f>
        <v>14.4</v>
      </c>
      <c r="E8" s="12">
        <f>'Model inputs'!AA7*DAY(EOMONTH(DATE(2027,1,1),0))+'Model inputs'!AA18</f>
        <v>14.4</v>
      </c>
      <c r="F8" s="12">
        <f>'Model inputs'!AA7*DAY(EOMONTH(DATE(2027,2,1),0))+'Model inputs'!AA18</f>
        <v>13.200000000000001</v>
      </c>
      <c r="G8" s="12">
        <f>'Model inputs'!AA7*DAY(EOMONTH(DATE(2027,3,1),0))+'Model inputs'!AA18</f>
        <v>14.4</v>
      </c>
      <c r="H8" s="12">
        <f>'Model inputs'!AA7*DAY(EOMONTH(DATE(2027,4,1),0))+'Model inputs'!AA18</f>
        <v>14</v>
      </c>
      <c r="I8" s="12">
        <f>'Model inputs'!AA7*DAY(EOMONTH(DATE(2027,5,1),0))+'Model inputs'!AA18</f>
        <v>14.4</v>
      </c>
      <c r="J8" s="12">
        <f>'Model inputs'!AA7*DAY(EOMONTH(DATE(2027,6,1),0))+'Model inputs'!AA18</f>
        <v>14</v>
      </c>
      <c r="K8" s="12">
        <f>'Model inputs'!AA7*DAY(EOMONTH(DATE(2027,7,1),0))+'Model inputs'!AA18</f>
        <v>14.4</v>
      </c>
      <c r="L8" s="12">
        <f>'Model inputs'!AA7*DAY(EOMONTH(DATE(2027,8,1),0))+'Model inputs'!AA18</f>
        <v>14.4</v>
      </c>
      <c r="M8" s="12">
        <f>'Model inputs'!AA7*DAY(EOMONTH(DATE(2027,9,1),0))+'Model inputs'!AA18</f>
        <v>14</v>
      </c>
      <c r="N8" s="12">
        <f>'Model inputs'!AA7*DAY(EOMONTH(DATE(2027,10,1),0))+'Model inputs'!AA18</f>
        <v>14.4</v>
      </c>
      <c r="O8" s="12">
        <f>'Model inputs'!AA7*DAY(EOMONTH(DATE(2027,11,1),0))+'Model inputs'!AA18</f>
        <v>14</v>
      </c>
      <c r="P8" s="12">
        <f>'Model inputs'!AA7*DAY(EOMONTH(DATE(2027,12,1),0))+'Model inputs'!AA18</f>
        <v>14.4</v>
      </c>
      <c r="Q8" s="12">
        <f>'Model inputs'!AA7*DAY(EOMONTH(DATE(2028,1,1),0))+'Model inputs'!AA18</f>
        <v>14.4</v>
      </c>
      <c r="R8" s="12">
        <f>'Model inputs'!AA7*DAY(EOMONTH(DATE(2028,2,1),0))+'Model inputs'!AA18</f>
        <v>13.600000000000001</v>
      </c>
      <c r="S8" s="12">
        <f>'Model inputs'!AA7*DAY(EOMONTH(DATE(2028,3,1),0))+'Model inputs'!AA18</f>
        <v>14.4</v>
      </c>
      <c r="T8" s="12">
        <f>'Model inputs'!AA7*DAY(EOMONTH(DATE(2028,4,1),0))+'Model inputs'!AA18</f>
        <v>14</v>
      </c>
      <c r="U8" s="12">
        <f>'Model inputs'!AA7*DAY(EOMONTH(DATE(2028,5,1),0))+'Model inputs'!AA18</f>
        <v>14.4</v>
      </c>
      <c r="V8" s="12">
        <f>'Model inputs'!AA7*DAY(EOMONTH(DATE(2028,6,1),0))+'Model inputs'!AA18</f>
        <v>14</v>
      </c>
      <c r="W8" s="12">
        <f>'Model inputs'!AA7*DAY(EOMONTH(DATE(2028,7,1),0))+'Model inputs'!AA18</f>
        <v>14.4</v>
      </c>
      <c r="X8" s="12">
        <f>'Model inputs'!AA7*DAY(EOMONTH(DATE(2028,8,1),0))+'Model inputs'!AA18</f>
        <v>14.4</v>
      </c>
      <c r="Y8" s="12">
        <f>'Model inputs'!AA7*DAY(EOMONTH(DATE(2028,9,1),0))+'Model inputs'!AA18</f>
        <v>14</v>
      </c>
    </row>
    <row r="9">
      <c r="A9" t="inlineStr" s="6">
        <is>
          <t xml:space="preserve">Contribution per van</t>
        </is>
      </c>
      <c r="B9" t="str" s="11">
        <f>IFERROR(('Fleet growth and revenue'!B22*(1-'Model inputs'!AA26-'Model inputs'!AA21)-'Fleet growth and revenue'!B11*('Model inputs'!AA7*DAY(EOMONTH(DATE(2026,10,1),0))+'Model inputs'!AA18+'Model inputs'!AA8))/'Fleet growth and revenue'!B11,"")</f>
        <v/>
      </c>
      <c r="C9" t="str" s="11">
        <f>IFERROR(('Fleet growth and revenue'!C22*(1-'Model inputs'!AA26-'Model inputs'!AA21)-'Fleet growth and revenue'!C11*('Model inputs'!AA7*DAY(EOMONTH(DATE(2026,11,1),0))+'Model inputs'!AA18+'Model inputs'!AA8))/'Fleet growth and revenue'!C11,"")</f>
        <v/>
      </c>
      <c r="D9" s="11">
        <f>IFERROR(('Fleet growth and revenue'!D22*(1-'Model inputs'!AA26-'Model inputs'!AA21)-'Fleet growth and revenue'!D11*('Model inputs'!AA7*DAY(EOMONTH(DATE(2026,12,1),0))+'Model inputs'!AA18+'Model inputs'!AA8))/'Fleet growth and revenue'!D11,"")</f>
        <v>32.13999999999999</v>
      </c>
      <c r="E9" s="11">
        <f>IFERROR(('Fleet growth and revenue'!E22*(1-'Model inputs'!AA26-'Model inputs'!AA21)-'Fleet growth and revenue'!E11*('Model inputs'!AA7*DAY(EOMONTH(DATE(2027,1,1),0))+'Model inputs'!AA18+'Model inputs'!AA8))/'Fleet growth and revenue'!E11,"")</f>
        <v>32.13999999999999</v>
      </c>
      <c r="F9" s="11">
        <f>IFERROR(('Fleet growth and revenue'!F22*(1-'Model inputs'!AA26-'Model inputs'!AA21)-'Fleet growth and revenue'!F11*('Model inputs'!AA7*DAY(EOMONTH(DATE(2027,2,1),0))+'Model inputs'!AA18+'Model inputs'!AA8))/'Fleet growth and revenue'!F11,"")</f>
        <v>33.34</v>
      </c>
      <c r="G9" s="11">
        <f>IFERROR(('Fleet growth and revenue'!G22*(1-'Model inputs'!AA26-'Model inputs'!AA21)-'Fleet growth and revenue'!G11*('Model inputs'!AA7*DAY(EOMONTH(DATE(2027,3,1),0))+'Model inputs'!AA18+'Model inputs'!AA8))/'Fleet growth and revenue'!G11,"")</f>
        <v>34.37255813953489</v>
      </c>
      <c r="H9" s="11">
        <f>IFERROR(('Fleet growth and revenue'!H22*(1-'Model inputs'!AA26-'Model inputs'!AA21)-'Fleet growth and revenue'!H11*('Model inputs'!AA7*DAY(EOMONTH(DATE(2027,4,1),0))+'Model inputs'!AA18+'Model inputs'!AA8))/'Fleet growth and revenue'!H11,"")</f>
        <v>34.386153846153846</v>
      </c>
      <c r="I9" s="11">
        <f>IFERROR(('Fleet growth and revenue'!I22*(1-'Model inputs'!AA26-'Model inputs'!AA21)-'Fleet growth and revenue'!I11*('Model inputs'!AA7*DAY(EOMONTH(DATE(2027,5,1),0))+'Model inputs'!AA18+'Model inputs'!AA8))/'Fleet growth and revenue'!I11,"")</f>
        <v>34.32181818181818</v>
      </c>
      <c r="J9" s="11">
        <f>IFERROR(('Fleet growth and revenue'!J22*(1-'Model inputs'!AA26-'Model inputs'!AA21)-'Fleet growth and revenue'!J11*('Model inputs'!AA7*DAY(EOMONTH(DATE(2027,6,1),0))+'Model inputs'!AA18+'Model inputs'!AA8))/'Fleet growth and revenue'!J11,"")</f>
        <v>34.53999999999999</v>
      </c>
      <c r="K9" s="11">
        <f>IFERROR(('Fleet growth and revenue'!K22*(1-'Model inputs'!AA26-'Model inputs'!AA21)-'Fleet growth and revenue'!K11*('Model inputs'!AA7*DAY(EOMONTH(DATE(2027,7,1),0))+'Model inputs'!AA18+'Model inputs'!AA8))/'Fleet growth and revenue'!K11,"")</f>
        <v>34.37255813953489</v>
      </c>
      <c r="L9" s="11">
        <f>IFERROR(('Fleet growth and revenue'!L22*(1-'Model inputs'!AA26-'Model inputs'!AA21)-'Fleet growth and revenue'!L11*('Model inputs'!AA7*DAY(EOMONTH(DATE(2027,8,1),0))+'Model inputs'!AA18+'Model inputs'!AA8))/'Fleet growth and revenue'!L11,"")</f>
        <v>34.16105263157895</v>
      </c>
      <c r="M9" s="11">
        <f>IFERROR(('Fleet growth and revenue'!M22*(1-'Model inputs'!AA26-'Model inputs'!AA21)-'Fleet growth and revenue'!M11*('Model inputs'!AA7*DAY(EOMONTH(DATE(2027,9,1),0))+'Model inputs'!AA18+'Model inputs'!AA8))/'Fleet growth and revenue'!M11,"")</f>
        <v>34.80415094339623</v>
      </c>
      <c r="N9" s="11">
        <f>IFERROR(('Fleet growth and revenue'!N22*(1-'Model inputs'!AA26-'Model inputs'!AA21)-'Fleet growth and revenue'!N11*('Model inputs'!AA7*DAY(EOMONTH(DATE(2027,10,1),0))+'Model inputs'!AA18+'Model inputs'!AA8))/'Fleet growth and revenue'!N11,"")</f>
        <v>34.22695652173913</v>
      </c>
      <c r="O9" s="11">
        <f>IFERROR(('Fleet growth and revenue'!O22*(1-'Model inputs'!AA26-'Model inputs'!AA21)-'Fleet growth and revenue'!O11*('Model inputs'!AA7*DAY(EOMONTH(DATE(2027,11,1),0))+'Model inputs'!AA18+'Model inputs'!AA8))/'Fleet growth and revenue'!O11,"")</f>
        <v>34.77255813953488</v>
      </c>
      <c r="P9" s="11">
        <f>IFERROR(('Fleet growth and revenue'!P22*(1-'Model inputs'!AA26-'Model inputs'!AA21)-'Fleet growth and revenue'!P11*('Model inputs'!AA7*DAY(EOMONTH(DATE(2027,12,1),0))+'Model inputs'!AA18+'Model inputs'!AA8))/'Fleet growth and revenue'!P11,"")</f>
        <v>34.48965034965035</v>
      </c>
      <c r="Q9" s="11">
        <f>IFERROR(('Fleet growth and revenue'!Q22*(1-'Model inputs'!AA26-'Model inputs'!AA21)-'Fleet growth and revenue'!Q11*('Model inputs'!AA7*DAY(EOMONTH(DATE(2028,1,1),0))+'Model inputs'!AA18+'Model inputs'!AA8))/'Fleet growth and revenue'!Q11,"")</f>
        <v>34.39503355704697</v>
      </c>
      <c r="R9" s="11">
        <f>IFERROR(('Fleet growth and revenue'!R22*(1-'Model inputs'!AA26-'Model inputs'!AA21)-'Fleet growth and revenue'!R11*('Model inputs'!AA7*DAY(EOMONTH(DATE(2028,2,1),0))+'Model inputs'!AA18+'Model inputs'!AA8))/'Fleet growth and revenue'!R11,"")</f>
        <v>35.295828220858894</v>
      </c>
      <c r="S9" s="11">
        <f>IFERROR(('Fleet growth and revenue'!S22*(1-'Model inputs'!AA26-'Model inputs'!AA21)-'Fleet growth and revenue'!S11*('Model inputs'!AA7*DAY(EOMONTH(DATE(2028,3,1),0))+'Model inputs'!AA18+'Model inputs'!AA8))/'Fleet growth and revenue'!S11,"")</f>
        <v>34.37255813953489</v>
      </c>
      <c r="T9" s="11">
        <f>IFERROR(('Fleet growth and revenue'!T22*(1-'Model inputs'!AA26-'Model inputs'!AA21)-'Fleet growth and revenue'!T11*('Model inputs'!AA7*DAY(EOMONTH(DATE(2028,4,1),0))+'Model inputs'!AA18+'Model inputs'!AA8))/'Fleet growth and revenue'!T11,"")</f>
        <v>34.900655737704916</v>
      </c>
      <c r="U9" s="11">
        <f>IFERROR(('Fleet growth and revenue'!U22*(1-'Model inputs'!AA26-'Model inputs'!AA21)-'Fleet growth and revenue'!U11*('Model inputs'!AA7*DAY(EOMONTH(DATE(2028,5,1),0))+'Model inputs'!AA18+'Model inputs'!AA8))/'Fleet growth and revenue'!U11,"")</f>
        <v>34.39</v>
      </c>
      <c r="V9" s="11">
        <f>IFERROR(('Fleet growth and revenue'!V22*(1-'Model inputs'!AA26-'Model inputs'!AA21)-'Fleet growth and revenue'!V11*('Model inputs'!AA7*DAY(EOMONTH(DATE(2028,6,1),0))+'Model inputs'!AA18+'Model inputs'!AA8))/'Fleet growth and revenue'!V11,"")</f>
        <v>34.87009708737864</v>
      </c>
      <c r="W9" s="11">
        <f>IFERROR(('Fleet growth and revenue'!W22*(1-'Model inputs'!AA26-'Model inputs'!AA21)-'Fleet growth and revenue'!W11*('Model inputs'!AA7*DAY(EOMONTH(DATE(2028,7,1),0))+'Model inputs'!AA18+'Model inputs'!AA8))/'Fleet growth and revenue'!W11,"")</f>
        <v>34.37255813953488</v>
      </c>
      <c r="X9" s="11">
        <f>IFERROR(('Fleet growth and revenue'!X22*(1-'Model inputs'!AA26-'Model inputs'!AA21)-'Fleet growth and revenue'!X11*('Model inputs'!AA7*DAY(EOMONTH(DATE(2028,8,1),0))+'Model inputs'!AA18+'Model inputs'!AA8))/'Fleet growth and revenue'!X11,"")</f>
        <v>34.47628318584071</v>
      </c>
      <c r="Y9" s="11">
        <f>IFERROR(('Fleet growth and revenue'!Y22*(1-'Model inputs'!AA26-'Model inputs'!AA21)-'Fleet growth and revenue'!Y11*('Model inputs'!AA7*DAY(EOMONTH(DATE(2028,9,1),0))+'Model inputs'!AA18+'Model inputs'!AA8))/'Fleet growth and revenue'!Y11,"")</f>
        <v>34.786808510638295</v>
      </c>
    </row>
    <row r="10" outlineLevel="1">
      <c r="A10" t="inlineStr" s="10">
        <is>
          <t xml:space="preserve">30-van fleets</t>
        </is>
      </c>
      <c r="B10" s="12">
        <f>'Van unit economics and customer'!B6*(1-'Model inputs'!AA26-'Model inputs'!AA21)-'Van unit economics and customer'!B8-'Model inputs'!AA8</f>
        <v>32.14</v>
      </c>
      <c r="C10" s="12">
        <f>'Van unit economics and customer'!C6*(1-'Model inputs'!AA26-'Model inputs'!AA21)-'Van unit economics and customer'!C8-'Model inputs'!AA8</f>
        <v>32.54</v>
      </c>
      <c r="D10" s="12">
        <f>'Van unit economics and customer'!D6*(1-'Model inputs'!AA26-'Model inputs'!AA21)-'Van unit economics and customer'!D8-'Model inputs'!AA8</f>
        <v>32.14</v>
      </c>
      <c r="E10" s="12">
        <f>'Van unit economics and customer'!E6*(1-'Model inputs'!AA26-'Model inputs'!AA21)-'Van unit economics and customer'!E8-'Model inputs'!AA8</f>
        <v>32.14</v>
      </c>
      <c r="F10" s="12">
        <f>'Van unit economics and customer'!F6*(1-'Model inputs'!AA26-'Model inputs'!AA21)-'Van unit economics and customer'!F8-'Model inputs'!AA8</f>
        <v>33.339999999999996</v>
      </c>
      <c r="G10" s="12">
        <f>'Van unit economics and customer'!G6*(1-'Model inputs'!AA26-'Model inputs'!AA21)-'Van unit economics and customer'!G8-'Model inputs'!AA8</f>
        <v>32.14</v>
      </c>
      <c r="H10" s="12">
        <f>'Van unit economics and customer'!H6*(1-'Model inputs'!AA26-'Model inputs'!AA21)-'Van unit economics and customer'!H8-'Model inputs'!AA8</f>
        <v>32.54</v>
      </c>
      <c r="I10" s="12">
        <f>'Van unit economics and customer'!I6*(1-'Model inputs'!AA26-'Model inputs'!AA21)-'Van unit economics and customer'!I8-'Model inputs'!AA8</f>
        <v>32.14</v>
      </c>
      <c r="J10" s="12">
        <f>'Van unit economics and customer'!J6*(1-'Model inputs'!AA26-'Model inputs'!AA21)-'Van unit economics and customer'!J8-'Model inputs'!AA8</f>
        <v>32.54</v>
      </c>
      <c r="K10" s="12">
        <f>'Van unit economics and customer'!K6*(1-'Model inputs'!AA26-'Model inputs'!AA21)-'Van unit economics and customer'!K8-'Model inputs'!AA8</f>
        <v>32.14</v>
      </c>
      <c r="L10" s="12">
        <f>'Van unit economics and customer'!L6*(1-'Model inputs'!AA26-'Model inputs'!AA21)-'Van unit economics and customer'!L8-'Model inputs'!AA8</f>
        <v>32.14</v>
      </c>
      <c r="M10" s="12">
        <f>'Van unit economics and customer'!M6*(1-'Model inputs'!AA26-'Model inputs'!AA21)-'Van unit economics and customer'!M8-'Model inputs'!AA8</f>
        <v>32.54</v>
      </c>
      <c r="N10" s="12">
        <f>'Van unit economics and customer'!N6*(1-'Model inputs'!AA26-'Model inputs'!AA21)-'Van unit economics and customer'!N8-'Model inputs'!AA8</f>
        <v>32.14</v>
      </c>
      <c r="O10" s="12">
        <f>'Van unit economics and customer'!O6*(1-'Model inputs'!AA26-'Model inputs'!AA21)-'Van unit economics and customer'!O8-'Model inputs'!AA8</f>
        <v>32.54</v>
      </c>
      <c r="P10" s="12">
        <f>'Van unit economics and customer'!P6*(1-'Model inputs'!AA26-'Model inputs'!AA21)-'Van unit economics and customer'!P8-'Model inputs'!AA8</f>
        <v>32.14</v>
      </c>
      <c r="Q10" s="12">
        <f>'Van unit economics and customer'!Q6*(1-'Model inputs'!AA26-'Model inputs'!AA21)-'Van unit economics and customer'!Q8-'Model inputs'!AA8</f>
        <v>32.14</v>
      </c>
      <c r="R10" s="12">
        <f>'Van unit economics and customer'!R6*(1-'Model inputs'!AA26-'Model inputs'!AA21)-'Van unit economics and customer'!R8-'Model inputs'!AA8</f>
        <v>32.94</v>
      </c>
      <c r="S10" s="12">
        <f>'Van unit economics and customer'!S6*(1-'Model inputs'!AA26-'Model inputs'!AA21)-'Van unit economics and customer'!S8-'Model inputs'!AA8</f>
        <v>32.14</v>
      </c>
      <c r="T10" s="12">
        <f>'Van unit economics and customer'!T6*(1-'Model inputs'!AA26-'Model inputs'!AA21)-'Van unit economics and customer'!T8-'Model inputs'!AA8</f>
        <v>32.54</v>
      </c>
      <c r="U10" s="12">
        <f>'Van unit economics and customer'!U6*(1-'Model inputs'!AA26-'Model inputs'!AA21)-'Van unit economics and customer'!U8-'Model inputs'!AA8</f>
        <v>32.14</v>
      </c>
      <c r="V10" s="12">
        <f>'Van unit economics and customer'!V6*(1-'Model inputs'!AA26-'Model inputs'!AA21)-'Van unit economics and customer'!V8-'Model inputs'!AA8</f>
        <v>32.54</v>
      </c>
      <c r="W10" s="12">
        <f>'Van unit economics and customer'!W6*(1-'Model inputs'!AA26-'Model inputs'!AA21)-'Van unit economics and customer'!W8-'Model inputs'!AA8</f>
        <v>32.14</v>
      </c>
      <c r="X10" s="12">
        <f>'Van unit economics and customer'!X6*(1-'Model inputs'!AA26-'Model inputs'!AA21)-'Van unit economics and customer'!X8-'Model inputs'!AA8</f>
        <v>32.14</v>
      </c>
      <c r="Y10" s="12">
        <f>'Van unit economics and customer'!Y6*(1-'Model inputs'!AA26-'Model inputs'!AA21)-'Van unit economics and customer'!Y8-'Model inputs'!AA8</f>
        <v>32.54</v>
      </c>
    </row>
    <row r="11" outlineLevel="1">
      <c r="A11" t="inlineStr" s="10">
        <is>
          <t xml:space="preserve">80-van fleets</t>
        </is>
      </c>
      <c r="B11" s="12">
        <f>'Van unit economics and customer'!B7*(1-'Model inputs'!AA26-'Model inputs'!AA21)-'Van unit economics and customer'!B8-'Model inputs'!AA8</f>
        <v>38.14</v>
      </c>
      <c r="C11" s="12">
        <f>'Van unit economics and customer'!C7*(1-'Model inputs'!AA26-'Model inputs'!AA21)-'Van unit economics and customer'!C8-'Model inputs'!AA8</f>
        <v>38.54</v>
      </c>
      <c r="D11" s="12">
        <f>'Van unit economics and customer'!D7*(1-'Model inputs'!AA26-'Model inputs'!AA21)-'Van unit economics and customer'!D8-'Model inputs'!AA8</f>
        <v>38.14</v>
      </c>
      <c r="E11" s="12">
        <f>'Van unit economics and customer'!E7*(1-'Model inputs'!AA26-'Model inputs'!AA21)-'Van unit economics and customer'!E8-'Model inputs'!AA8</f>
        <v>38.14</v>
      </c>
      <c r="F11" s="12">
        <f>'Van unit economics and customer'!F7*(1-'Model inputs'!AA26-'Model inputs'!AA21)-'Van unit economics and customer'!F8-'Model inputs'!AA8</f>
        <v>39.339999999999996</v>
      </c>
      <c r="G11" s="12">
        <f>'Van unit economics and customer'!G7*(1-'Model inputs'!AA26-'Model inputs'!AA21)-'Van unit economics and customer'!G8-'Model inputs'!AA8</f>
        <v>38.14</v>
      </c>
      <c r="H11" s="12">
        <f>'Van unit economics and customer'!H7*(1-'Model inputs'!AA26-'Model inputs'!AA21)-'Van unit economics and customer'!H8-'Model inputs'!AA8</f>
        <v>38.54</v>
      </c>
      <c r="I11" s="12">
        <f>'Van unit economics and customer'!I7*(1-'Model inputs'!AA26-'Model inputs'!AA21)-'Van unit economics and customer'!I8-'Model inputs'!AA8</f>
        <v>38.14</v>
      </c>
      <c r="J11" s="12">
        <f>'Van unit economics and customer'!J7*(1-'Model inputs'!AA26-'Model inputs'!AA21)-'Van unit economics and customer'!J8-'Model inputs'!AA8</f>
        <v>38.54</v>
      </c>
      <c r="K11" s="12">
        <f>'Van unit economics and customer'!K7*(1-'Model inputs'!AA26-'Model inputs'!AA21)-'Van unit economics and customer'!K8-'Model inputs'!AA8</f>
        <v>38.14</v>
      </c>
      <c r="L11" s="12">
        <f>'Van unit economics and customer'!L7*(1-'Model inputs'!AA26-'Model inputs'!AA21)-'Van unit economics and customer'!L8-'Model inputs'!AA8</f>
        <v>38.14</v>
      </c>
      <c r="M11" s="12">
        <f>'Van unit economics and customer'!M7*(1-'Model inputs'!AA26-'Model inputs'!AA21)-'Van unit economics and customer'!M8-'Model inputs'!AA8</f>
        <v>38.54</v>
      </c>
      <c r="N11" s="12">
        <f>'Van unit economics and customer'!N7*(1-'Model inputs'!AA26-'Model inputs'!AA21)-'Van unit economics and customer'!N8-'Model inputs'!AA8</f>
        <v>38.14</v>
      </c>
      <c r="O11" s="12">
        <f>'Van unit economics and customer'!O7*(1-'Model inputs'!AA26-'Model inputs'!AA21)-'Van unit economics and customer'!O8-'Model inputs'!AA8</f>
        <v>38.54</v>
      </c>
      <c r="P11" s="12">
        <f>'Van unit economics and customer'!P7*(1-'Model inputs'!AA26-'Model inputs'!AA21)-'Van unit economics and customer'!P8-'Model inputs'!AA8</f>
        <v>38.14</v>
      </c>
      <c r="Q11" s="12">
        <f>'Van unit economics and customer'!Q7*(1-'Model inputs'!AA26-'Model inputs'!AA21)-'Van unit economics and customer'!Q8-'Model inputs'!AA8</f>
        <v>38.14</v>
      </c>
      <c r="R11" s="12">
        <f>'Van unit economics and customer'!R7*(1-'Model inputs'!AA26-'Model inputs'!AA21)-'Van unit economics and customer'!R8-'Model inputs'!AA8</f>
        <v>38.94</v>
      </c>
      <c r="S11" s="12">
        <f>'Van unit economics and customer'!S7*(1-'Model inputs'!AA26-'Model inputs'!AA21)-'Van unit economics and customer'!S8-'Model inputs'!AA8</f>
        <v>38.14</v>
      </c>
      <c r="T11" s="12">
        <f>'Van unit economics and customer'!T7*(1-'Model inputs'!AA26-'Model inputs'!AA21)-'Van unit economics and customer'!T8-'Model inputs'!AA8</f>
        <v>38.54</v>
      </c>
      <c r="U11" s="12">
        <f>'Van unit economics and customer'!U7*(1-'Model inputs'!AA26-'Model inputs'!AA21)-'Van unit economics and customer'!U8-'Model inputs'!AA8</f>
        <v>38.14</v>
      </c>
      <c r="V11" s="12">
        <f>'Van unit economics and customer'!V7*(1-'Model inputs'!AA26-'Model inputs'!AA21)-'Van unit economics and customer'!V8-'Model inputs'!AA8</f>
        <v>38.54</v>
      </c>
      <c r="W11" s="12">
        <f>'Van unit economics and customer'!W7*(1-'Model inputs'!AA26-'Model inputs'!AA21)-'Van unit economics and customer'!W8-'Model inputs'!AA8</f>
        <v>38.14</v>
      </c>
      <c r="X11" s="12">
        <f>'Van unit economics and customer'!X7*(1-'Model inputs'!AA26-'Model inputs'!AA21)-'Van unit economics and customer'!X8-'Model inputs'!AA8</f>
        <v>38.14</v>
      </c>
      <c r="Y11" s="12">
        <f>'Van unit economics and customer'!Y7*(1-'Model inputs'!AA26-'Model inputs'!AA21)-'Van unit economics and customer'!Y8-'Model inputs'!AA8</f>
        <v>38.54</v>
      </c>
    </row>
    <row r="12">
      <c r="A12" t="inlineStr" s="6">
        <is>
          <t xml:space="preserve">Van contribution margin</t>
        </is>
      </c>
      <c r="B12" t="str" s="13">
        <f>IFERROR(IF('Van unit economics and customer'!B9="",0,'Van unit economics and customer'!B9)/IF('Van unit economics and customer'!B5="",0,'Van unit economics and customer'!B5),"")</f>
        <v/>
      </c>
      <c r="C12" t="str" s="13">
        <f>IFERROR(IF('Van unit economics and customer'!C9="",0,'Van unit economics and customer'!C9)/IF('Van unit economics and customer'!C5="",0,'Van unit economics and customer'!C5),"")</f>
        <v/>
      </c>
      <c r="D12" s="13">
        <f>IFERROR('Van unit economics and customer'!D9/'Van unit economics and customer'!D5,"")</f>
        <v>0.6559183673469386</v>
      </c>
      <c r="E12" s="13">
        <f>IFERROR('Van unit economics and customer'!E9/'Van unit economics and customer'!E5,"")</f>
        <v>0.6559183673469386</v>
      </c>
      <c r="F12" s="13">
        <f>IFERROR('Van unit economics and customer'!F9/'Van unit economics and customer'!F5,"")</f>
        <v>0.6804081632653062</v>
      </c>
      <c r="G12" s="13">
        <f>IFERROR('Van unit economics and customer'!G9/'Van unit economics and customer'!G5,"")</f>
        <v>0.6696964204802901</v>
      </c>
      <c r="H12" s="13">
        <f>IFERROR('Van unit economics and customer'!H9/'Van unit economics and customer'!H5,"")</f>
        <v>0.6752567975830817</v>
      </c>
      <c r="I12" s="13">
        <f>IFERROR('Van unit economics and customer'!I9/'Van unit economics and customer'!I5,"")</f>
        <v>0.6693971631205673</v>
      </c>
      <c r="J12" s="13">
        <f>IFERROR('Van unit economics and customer'!J9/'Van unit economics and customer'!J5,"")</f>
        <v>0.6761500815660684</v>
      </c>
      <c r="K12" s="13">
        <f>IFERROR('Van unit economics and customer'!K9/'Van unit economics and customer'!K5,"")</f>
        <v>0.6696964204802901</v>
      </c>
      <c r="L12" s="13">
        <f>IFERROR('Van unit economics and customer'!L9/'Van unit economics and customer'!L5,"")</f>
        <v>0.6684449021627188</v>
      </c>
      <c r="M12" s="13">
        <f>IFERROR('Van unit economics and customer'!M9/'Van unit economics and customer'!M5,"")</f>
        <v>0.677670830271859</v>
      </c>
      <c r="N12" s="13">
        <f>IFERROR('Van unit economics and customer'!N9/'Van unit economics and customer'!N5,"")</f>
        <v>0.6688360237892949</v>
      </c>
      <c r="O12" s="13">
        <f>IFERROR('Van unit economics and customer'!O9/'Van unit economics and customer'!O5,"")</f>
        <v>0.6774898051653828</v>
      </c>
      <c r="P12" s="13">
        <f>IFERROR('Van unit economics and customer'!P9/'Van unit economics and customer'!P5,"")</f>
        <v>0.6703846676634497</v>
      </c>
      <c r="Q12" s="13">
        <f>IFERROR('Van unit economics and customer'!Q9/'Van unit economics and customer'!Q5,"")</f>
        <v>0.6698287805515617</v>
      </c>
      <c r="R12" s="13">
        <f>IFERROR('Van unit economics and customer'!R9/'Van unit economics and customer'!R5,"")</f>
        <v>0.6859687611780135</v>
      </c>
      <c r="S12" s="13">
        <f>IFERROR('Van unit economics and customer'!S9/'Van unit economics and customer'!S5,"")</f>
        <v>0.6696964204802901</v>
      </c>
      <c r="T12" s="13">
        <f>IFERROR('Van unit economics and customer'!T9/'Van unit economics and customer'!T5,"")</f>
        <v>0.6782223638101306</v>
      </c>
      <c r="U12" s="13">
        <f>IFERROR('Van unit economics and customer'!U9/'Van unit economics and customer'!U5,"")</f>
        <v>0.6697991479001826</v>
      </c>
      <c r="V12" s="13">
        <f>IFERROR('Van unit economics and customer'!V9/'Van unit economics and customer'!V5,"")</f>
        <v>0.6780479516707569</v>
      </c>
      <c r="W12" s="13">
        <f>IFERROR('Van unit economics and customer'!W9/'Van unit economics and customer'!W5,"")</f>
        <v>0.66969642048029</v>
      </c>
      <c r="X12" s="13">
        <f>IFERROR('Van unit economics and customer'!X9/'Van unit economics and customer'!X5,"")</f>
        <v>0.6703062629043358</v>
      </c>
      <c r="Y12" s="13">
        <f>IFERROR('Van unit economics and customer'!Y9/'Van unit economics and customer'!Y5,"")</f>
        <v>0.6775714877745544</v>
      </c>
    </row>
    <row r="13" outlineLevel="1">
      <c r="A13" t="inlineStr" s="10">
        <is>
          <t xml:space="preserve">30-van fleets</t>
        </is>
      </c>
      <c r="B13" s="14">
        <f>IFERROR('Van unit economics and customer'!B10/'Van unit economics and customer'!B6,"")</f>
        <v>0.6559183673469388</v>
      </c>
      <c r="C13" s="14">
        <f>IFERROR('Van unit economics and customer'!C10/'Van unit economics and customer'!C6,"")</f>
        <v>0.6640816326530612</v>
      </c>
      <c r="D13" s="14">
        <f>IFERROR('Van unit economics and customer'!D10/'Van unit economics and customer'!D6,"")</f>
        <v>0.6559183673469388</v>
      </c>
      <c r="E13" s="14">
        <f>IFERROR('Van unit economics and customer'!E10/'Van unit economics and customer'!E6,"")</f>
        <v>0.6559183673469388</v>
      </c>
      <c r="F13" s="14">
        <f>IFERROR('Van unit economics and customer'!F10/'Van unit economics and customer'!F6,"")</f>
        <v>0.6804081632653061</v>
      </c>
      <c r="G13" s="14">
        <f>IFERROR('Van unit economics and customer'!G10/'Van unit economics and customer'!G6,"")</f>
        <v>0.6559183673469388</v>
      </c>
      <c r="H13" s="14">
        <f>IFERROR('Van unit economics and customer'!H10/'Van unit economics and customer'!H6,"")</f>
        <v>0.6640816326530612</v>
      </c>
      <c r="I13" s="14">
        <f>IFERROR('Van unit economics and customer'!I10/'Van unit economics and customer'!I6,"")</f>
        <v>0.6559183673469388</v>
      </c>
      <c r="J13" s="14">
        <f>IFERROR('Van unit economics and customer'!J10/'Van unit economics and customer'!J6,"")</f>
        <v>0.6640816326530612</v>
      </c>
      <c r="K13" s="14">
        <f>IFERROR('Van unit economics and customer'!K10/'Van unit economics and customer'!K6,"")</f>
        <v>0.6559183673469388</v>
      </c>
      <c r="L13" s="14">
        <f>IFERROR('Van unit economics and customer'!L10/'Van unit economics and customer'!L6,"")</f>
        <v>0.6559183673469388</v>
      </c>
      <c r="M13" s="14">
        <f>IFERROR('Van unit economics and customer'!M10/'Van unit economics and customer'!M6,"")</f>
        <v>0.6640816326530612</v>
      </c>
      <c r="N13" s="14">
        <f>IFERROR('Van unit economics and customer'!N10/'Van unit economics and customer'!N6,"")</f>
        <v>0.6559183673469388</v>
      </c>
      <c r="O13" s="14">
        <f>IFERROR('Van unit economics and customer'!O10/'Van unit economics and customer'!O6,"")</f>
        <v>0.6640816326530612</v>
      </c>
      <c r="P13" s="14">
        <f>IFERROR('Van unit economics and customer'!P10/'Van unit economics and customer'!P6,"")</f>
        <v>0.6559183673469388</v>
      </c>
      <c r="Q13" s="14">
        <f>IFERROR('Van unit economics and customer'!Q10/'Van unit economics and customer'!Q6,"")</f>
        <v>0.6559183673469388</v>
      </c>
      <c r="R13" s="14">
        <f>IFERROR('Van unit economics and customer'!R10/'Van unit economics and customer'!R6,"")</f>
        <v>0.6722448979591836</v>
      </c>
      <c r="S13" s="14">
        <f>IFERROR('Van unit economics and customer'!S10/'Van unit economics and customer'!S6,"")</f>
        <v>0.6559183673469388</v>
      </c>
      <c r="T13" s="14">
        <f>IFERROR('Van unit economics and customer'!T10/'Van unit economics and customer'!T6,"")</f>
        <v>0.6640816326530612</v>
      </c>
      <c r="U13" s="14">
        <f>IFERROR('Van unit economics and customer'!U10/'Van unit economics and customer'!U6,"")</f>
        <v>0.6559183673469388</v>
      </c>
      <c r="V13" s="14">
        <f>IFERROR('Van unit economics and customer'!V10/'Van unit economics and customer'!V6,"")</f>
        <v>0.6640816326530612</v>
      </c>
      <c r="W13" s="14">
        <f>IFERROR('Van unit economics and customer'!W10/'Van unit economics and customer'!W6,"")</f>
        <v>0.6559183673469388</v>
      </c>
      <c r="X13" s="14">
        <f>IFERROR('Van unit economics and customer'!X10/'Van unit economics and customer'!X6,"")</f>
        <v>0.6559183673469388</v>
      </c>
      <c r="Y13" s="14">
        <f>IFERROR('Van unit economics and customer'!Y10/'Van unit economics and customer'!Y6,"")</f>
        <v>0.6640816326530612</v>
      </c>
    </row>
    <row r="14" outlineLevel="1">
      <c r="A14" t="inlineStr" s="10">
        <is>
          <t xml:space="preserve">80-van fleets</t>
        </is>
      </c>
      <c r="B14" s="14">
        <f>IFERROR('Van unit economics and customer'!B11/'Van unit economics and customer'!B7,"")</f>
        <v>0.690316742081448</v>
      </c>
      <c r="C14" s="14">
        <f>IFERROR('Van unit economics and customer'!C11/'Van unit economics and customer'!C7,"")</f>
        <v>0.6975565610859729</v>
      </c>
      <c r="D14" s="14">
        <f>IFERROR('Van unit economics and customer'!D11/'Van unit economics and customer'!D7,"")</f>
        <v>0.690316742081448</v>
      </c>
      <c r="E14" s="14">
        <f>IFERROR('Van unit economics and customer'!E11/'Van unit economics and customer'!E7,"")</f>
        <v>0.690316742081448</v>
      </c>
      <c r="F14" s="14">
        <f>IFERROR('Van unit economics and customer'!F11/'Van unit economics and customer'!F7,"")</f>
        <v>0.7120361990950226</v>
      </c>
      <c r="G14" s="14">
        <f>IFERROR('Van unit economics and customer'!G11/'Van unit economics and customer'!G7,"")</f>
        <v>0.690316742081448</v>
      </c>
      <c r="H14" s="14">
        <f>IFERROR('Van unit economics and customer'!H11/'Van unit economics and customer'!H7,"")</f>
        <v>0.6975565610859729</v>
      </c>
      <c r="I14" s="14">
        <f>IFERROR('Van unit economics and customer'!I11/'Van unit economics and customer'!I7,"")</f>
        <v>0.690316742081448</v>
      </c>
      <c r="J14" s="14">
        <f>IFERROR('Van unit economics and customer'!J11/'Van unit economics and customer'!J7,"")</f>
        <v>0.6975565610859729</v>
      </c>
      <c r="K14" s="14">
        <f>IFERROR('Van unit economics and customer'!K11/'Van unit economics and customer'!K7,"")</f>
        <v>0.690316742081448</v>
      </c>
      <c r="L14" s="14">
        <f>IFERROR('Van unit economics and customer'!L11/'Van unit economics and customer'!L7,"")</f>
        <v>0.690316742081448</v>
      </c>
      <c r="M14" s="14">
        <f>IFERROR('Van unit economics and customer'!M11/'Van unit economics and customer'!M7,"")</f>
        <v>0.6975565610859729</v>
      </c>
      <c r="N14" s="14">
        <f>IFERROR('Van unit economics and customer'!N11/'Van unit economics and customer'!N7,"")</f>
        <v>0.690316742081448</v>
      </c>
      <c r="O14" s="14">
        <f>IFERROR('Van unit economics and customer'!O11/'Van unit economics and customer'!O7,"")</f>
        <v>0.6975565610859729</v>
      </c>
      <c r="P14" s="14">
        <f>IFERROR('Van unit economics and customer'!P11/'Van unit economics and customer'!P7,"")</f>
        <v>0.690316742081448</v>
      </c>
      <c r="Q14" s="14">
        <f>IFERROR('Van unit economics and customer'!Q11/'Van unit economics and customer'!Q7,"")</f>
        <v>0.690316742081448</v>
      </c>
      <c r="R14" s="14">
        <f>IFERROR('Van unit economics and customer'!R11/'Van unit economics and customer'!R7,"")</f>
        <v>0.7047963800904977</v>
      </c>
      <c r="S14" s="14">
        <f>IFERROR('Van unit economics and customer'!S11/'Van unit economics and customer'!S7,"")</f>
        <v>0.690316742081448</v>
      </c>
      <c r="T14" s="14">
        <f>IFERROR('Van unit economics and customer'!T11/'Van unit economics and customer'!T7,"")</f>
        <v>0.6975565610859729</v>
      </c>
      <c r="U14" s="14">
        <f>IFERROR('Van unit economics and customer'!U11/'Van unit economics and customer'!U7,"")</f>
        <v>0.690316742081448</v>
      </c>
      <c r="V14" s="14">
        <f>IFERROR('Van unit economics and customer'!V11/'Van unit economics and customer'!V7,"")</f>
        <v>0.6975565610859729</v>
      </c>
      <c r="W14" s="14">
        <f>IFERROR('Van unit economics and customer'!W11/'Van unit economics and customer'!W7,"")</f>
        <v>0.690316742081448</v>
      </c>
      <c r="X14" s="14">
        <f>IFERROR('Van unit economics and customer'!X11/'Van unit economics and customer'!X7,"")</f>
        <v>0.690316742081448</v>
      </c>
      <c r="Y14" s="14">
        <f>IFERROR('Van unit economics and customer'!Y11/'Van unit economics and customer'!Y7,"")</f>
        <v>0.6975565610859729</v>
      </c>
    </row>
    <row r="15">
      <c r="A15" t="inlineStr" s="8">
        <is>
          <t xml:space="preserve">Dispatcher cost per van</t>
        </is>
      </c>
      <c r="B15" s="12">
        <f>'Model inputs'!AA9/12/'Model inputs'!AA30</f>
        <v>114.58333333333333</v>
      </c>
      <c r="C15" s="12">
        <f>'Model inputs'!AA9/12/'Model inputs'!AA30</f>
        <v>114.58333333333333</v>
      </c>
      <c r="D15" s="12">
        <f>'Model inputs'!AA9/12/'Model inputs'!AA30</f>
        <v>114.58333333333333</v>
      </c>
      <c r="E15" s="12">
        <f>'Model inputs'!AA9/12/'Model inputs'!AA30</f>
        <v>114.58333333333333</v>
      </c>
      <c r="F15" s="12">
        <f>'Model inputs'!AA9/12/'Model inputs'!AA30</f>
        <v>114.58333333333333</v>
      </c>
      <c r="G15" s="12">
        <f>'Model inputs'!AA9/12/'Model inputs'!AA30</f>
        <v>114.58333333333333</v>
      </c>
      <c r="H15" s="12">
        <f>'Model inputs'!AA9/12/'Model inputs'!AA30</f>
        <v>114.58333333333333</v>
      </c>
      <c r="I15" s="12">
        <f>'Model inputs'!AA9/12/'Model inputs'!AA30</f>
        <v>114.58333333333333</v>
      </c>
      <c r="J15" s="12">
        <f>'Model inputs'!AA9/12/'Model inputs'!AA30</f>
        <v>114.58333333333333</v>
      </c>
      <c r="K15" s="12">
        <f>'Model inputs'!AA9/12/'Model inputs'!AA30</f>
        <v>114.58333333333333</v>
      </c>
      <c r="L15" s="12">
        <f>'Model inputs'!AA9/12/'Model inputs'!AA30</f>
        <v>114.58333333333333</v>
      </c>
      <c r="M15" s="12">
        <f>'Model inputs'!AA9/12/'Model inputs'!AA30</f>
        <v>114.58333333333333</v>
      </c>
      <c r="N15" s="12">
        <f>'Model inputs'!AA9/12/'Model inputs'!AA30</f>
        <v>114.58333333333333</v>
      </c>
      <c r="O15" s="12">
        <f>'Model inputs'!AA9/12/'Model inputs'!AA30</f>
        <v>114.58333333333333</v>
      </c>
      <c r="P15" s="12">
        <f>'Model inputs'!AA9/12/'Model inputs'!AA30</f>
        <v>114.58333333333333</v>
      </c>
      <c r="Q15" s="12">
        <f>'Model inputs'!AA9/12/'Model inputs'!AA30</f>
        <v>114.58333333333333</v>
      </c>
      <c r="R15" s="12">
        <f>'Model inputs'!AA9/12/'Model inputs'!AA30</f>
        <v>114.58333333333333</v>
      </c>
      <c r="S15" s="12">
        <f>'Model inputs'!AA9/12/'Model inputs'!AA30</f>
        <v>114.58333333333333</v>
      </c>
      <c r="T15" s="12">
        <f>'Model inputs'!AA9/12/'Model inputs'!AA30</f>
        <v>114.58333333333333</v>
      </c>
      <c r="U15" s="12">
        <f>'Model inputs'!AA9/12/'Model inputs'!AA30</f>
        <v>114.58333333333333</v>
      </c>
      <c r="V15" s="12">
        <f>'Model inputs'!AA9/12/'Model inputs'!AA30</f>
        <v>114.58333333333333</v>
      </c>
      <c r="W15" s="12">
        <f>'Model inputs'!AA9/12/'Model inputs'!AA30</f>
        <v>114.58333333333333</v>
      </c>
      <c r="X15" s="12">
        <f>'Model inputs'!AA9/12/'Model inputs'!AA30</f>
        <v>114.58333333333333</v>
      </c>
      <c r="Y15" s="12">
        <f>'Model inputs'!AA9/12/'Model inputs'!AA30</f>
        <v>114.58333333333333</v>
      </c>
    </row>
    <row r="16">
      <c r="A16" t="inlineStr" s="8">
        <is>
          <t xml:space="preserve">Avoided late delivery cost per van</t>
        </is>
      </c>
      <c r="B16" s="12">
        <f>'Model inputs'!AA19*'Model inputs'!AA16*'Model inputs'!AA15*'Model inputs'!AA17</f>
        <v>43.199999999999996</v>
      </c>
      <c r="C16" s="12">
        <f>'Model inputs'!AA19*'Model inputs'!AA16*'Model inputs'!AA15*'Model inputs'!AA17</f>
        <v>43.199999999999996</v>
      </c>
      <c r="D16" s="12">
        <f>'Model inputs'!AA19*'Model inputs'!AA16*'Model inputs'!AA15*'Model inputs'!AA17</f>
        <v>43.199999999999996</v>
      </c>
      <c r="E16" s="12">
        <f>'Model inputs'!AA19*'Model inputs'!AA16*'Model inputs'!AA15*'Model inputs'!AA17</f>
        <v>43.199999999999996</v>
      </c>
      <c r="F16" s="12">
        <f>'Model inputs'!AA19*'Model inputs'!AA16*'Model inputs'!AA15*'Model inputs'!AA17</f>
        <v>43.199999999999996</v>
      </c>
      <c r="G16" s="12">
        <f>'Model inputs'!AA19*'Model inputs'!AA16*'Model inputs'!AA15*'Model inputs'!AA17</f>
        <v>43.199999999999996</v>
      </c>
      <c r="H16" s="12">
        <f>'Model inputs'!AA19*'Model inputs'!AA16*'Model inputs'!AA15*'Model inputs'!AA17</f>
        <v>43.199999999999996</v>
      </c>
      <c r="I16" s="12">
        <f>'Model inputs'!AA19*'Model inputs'!AA16*'Model inputs'!AA15*'Model inputs'!AA17</f>
        <v>43.199999999999996</v>
      </c>
      <c r="J16" s="12">
        <f>'Model inputs'!AA19*'Model inputs'!AA16*'Model inputs'!AA15*'Model inputs'!AA17</f>
        <v>43.199999999999996</v>
      </c>
      <c r="K16" s="12">
        <f>'Model inputs'!AA19*'Model inputs'!AA16*'Model inputs'!AA15*'Model inputs'!AA17</f>
        <v>43.199999999999996</v>
      </c>
      <c r="L16" s="12">
        <f>'Model inputs'!AA19*'Model inputs'!AA16*'Model inputs'!AA15*'Model inputs'!AA17</f>
        <v>43.199999999999996</v>
      </c>
      <c r="M16" s="12">
        <f>'Model inputs'!AA19*'Model inputs'!AA16*'Model inputs'!AA15*'Model inputs'!AA17</f>
        <v>43.199999999999996</v>
      </c>
      <c r="N16" s="12">
        <f>'Model inputs'!AA19*'Model inputs'!AA16*'Model inputs'!AA15*'Model inputs'!AA17</f>
        <v>43.199999999999996</v>
      </c>
      <c r="O16" s="12">
        <f>'Model inputs'!AA19*'Model inputs'!AA16*'Model inputs'!AA15*'Model inputs'!AA17</f>
        <v>43.199999999999996</v>
      </c>
      <c r="P16" s="12">
        <f>'Model inputs'!AA19*'Model inputs'!AA16*'Model inputs'!AA15*'Model inputs'!AA17</f>
        <v>43.199999999999996</v>
      </c>
      <c r="Q16" s="12">
        <f>'Model inputs'!AA19*'Model inputs'!AA16*'Model inputs'!AA15*'Model inputs'!AA17</f>
        <v>43.199999999999996</v>
      </c>
      <c r="R16" s="12">
        <f>'Model inputs'!AA19*'Model inputs'!AA16*'Model inputs'!AA15*'Model inputs'!AA17</f>
        <v>43.199999999999996</v>
      </c>
      <c r="S16" s="12">
        <f>'Model inputs'!AA19*'Model inputs'!AA16*'Model inputs'!AA15*'Model inputs'!AA17</f>
        <v>43.199999999999996</v>
      </c>
      <c r="T16" s="12">
        <f>'Model inputs'!AA19*'Model inputs'!AA16*'Model inputs'!AA15*'Model inputs'!AA17</f>
        <v>43.199999999999996</v>
      </c>
      <c r="U16" s="12">
        <f>'Model inputs'!AA19*'Model inputs'!AA16*'Model inputs'!AA15*'Model inputs'!AA17</f>
        <v>43.199999999999996</v>
      </c>
      <c r="V16" s="12">
        <f>'Model inputs'!AA19*'Model inputs'!AA16*'Model inputs'!AA15*'Model inputs'!AA17</f>
        <v>43.199999999999996</v>
      </c>
      <c r="W16" s="12">
        <f>'Model inputs'!AA19*'Model inputs'!AA16*'Model inputs'!AA15*'Model inputs'!AA17</f>
        <v>43.199999999999996</v>
      </c>
      <c r="X16" s="12">
        <f>'Model inputs'!AA19*'Model inputs'!AA16*'Model inputs'!AA15*'Model inputs'!AA17</f>
        <v>43.199999999999996</v>
      </c>
      <c r="Y16" s="12">
        <f>'Model inputs'!AA19*'Model inputs'!AA16*'Model inputs'!AA15*'Model inputs'!AA17</f>
        <v>43.199999999999996</v>
      </c>
    </row>
    <row r="17">
      <c r="A17" t="inlineStr" s="6">
        <is>
          <t xml:space="preserve">Dispatcher time saving needed</t>
        </is>
      </c>
      <c r="B17" s="13">
        <f>IFERROR(IF('Van unit economics and customer'!B5="",0,'Van unit economics and customer'!B5)/'Van unit economics and customer'!B15,"")</f>
        <v>0</v>
      </c>
      <c r="C17" s="13">
        <f>IFERROR(IF('Van unit economics and customer'!C5="",0,'Van unit economics and customer'!C5)/'Van unit economics and customer'!C15,"")</f>
        <v>0</v>
      </c>
      <c r="D17" s="13">
        <f>IFERROR('Van unit economics and customer'!D5/'Van unit economics and customer'!D15,"")</f>
        <v>0.42763636363636365</v>
      </c>
      <c r="E17" s="13">
        <f>IFERROR('Van unit economics and customer'!E5/'Van unit economics and customer'!E15,"")</f>
        <v>0.42763636363636365</v>
      </c>
      <c r="F17" s="13">
        <f>IFERROR('Van unit economics and customer'!F5/'Van unit economics and customer'!F15,"")</f>
        <v>0.42763636363636365</v>
      </c>
      <c r="G17" s="13">
        <f>IFERROR('Van unit economics and customer'!G5/'Van unit economics and customer'!G15,"")</f>
        <v>0.4479323467230444</v>
      </c>
      <c r="H17" s="13">
        <f>IFERROR('Van unit economics and customer'!H5/'Van unit economics and customer'!H15,"")</f>
        <v>0.4444195804195804</v>
      </c>
      <c r="I17" s="13">
        <f>IFERROR('Van unit economics and customer'!I5/'Van unit economics and customer'!I15,"")</f>
        <v>0.4474710743801653</v>
      </c>
      <c r="J17" s="13">
        <f>IFERROR('Van unit economics and customer'!J5/'Van unit economics and customer'!J15,"")</f>
        <v>0.44581818181818184</v>
      </c>
      <c r="K17" s="13">
        <f>IFERROR('Van unit economics and customer'!K5/'Van unit economics and customer'!K15,"")</f>
        <v>0.4479323467230444</v>
      </c>
      <c r="L17" s="13">
        <f>IFERROR('Van unit economics and customer'!L5/'Van unit economics and customer'!L15,"")</f>
        <v>0.44600956937799047</v>
      </c>
      <c r="M17" s="13">
        <f>IFERROR('Van unit economics and customer'!M5/'Van unit economics and customer'!M15,"")</f>
        <v>0.4482195540308748</v>
      </c>
      <c r="N17" s="13">
        <f>IFERROR('Van unit economics and customer'!N5/'Van unit economics and customer'!N15,"")</f>
        <v>0.4466086956521739</v>
      </c>
      <c r="O17" s="13">
        <f>IFERROR('Van unit economics and customer'!O5/'Van unit economics and customer'!O15,"")</f>
        <v>0.4479323467230444</v>
      </c>
      <c r="P17" s="13">
        <f>IFERROR('Van unit economics and customer'!P5/'Van unit economics and customer'!P15,"")</f>
        <v>0.4489968213604577</v>
      </c>
      <c r="Q17" s="13">
        <f>IFERROR('Van unit economics and customer'!Q5/'Van unit economics and customer'!Q15,"")</f>
        <v>0.4481366687004271</v>
      </c>
      <c r="R17" s="13">
        <f>IFERROR('Van unit economics and customer'!R5/'Van unit economics and customer'!R15,"")</f>
        <v>0.44905298382598996</v>
      </c>
      <c r="S17" s="13">
        <f>IFERROR('Van unit economics and customer'!S5/'Van unit economics and customer'!S15,"")</f>
        <v>0.4479323467230444</v>
      </c>
      <c r="T17" s="13">
        <f>IFERROR('Van unit economics and customer'!T5/'Van unit economics and customer'!T15,"")</f>
        <v>0.449096870342772</v>
      </c>
      <c r="U17" s="13">
        <f>IFERROR('Van unit economics and customer'!U5/'Van unit economics and customer'!U15,"")</f>
        <v>0.4480909090909091</v>
      </c>
      <c r="V17" s="13">
        <f>IFERROR('Van unit economics and customer'!V5/'Van unit economics and customer'!V15,"")</f>
        <v>0.44881906443071495</v>
      </c>
      <c r="W17" s="13">
        <f>IFERROR('Van unit economics and customer'!W5/'Van unit economics and customer'!W15,"")</f>
        <v>0.4479323467230444</v>
      </c>
      <c r="X17" s="13">
        <f>IFERROR('Van unit economics and customer'!X5/'Van unit economics and customer'!X15,"")</f>
        <v>0.448875301689461</v>
      </c>
      <c r="Y17" s="13">
        <f>IFERROR('Van unit economics and customer'!Y5/'Van unit economics and customer'!Y15,"")</f>
        <v>0.4480618955512573</v>
      </c>
    </row>
    <row r="18" outlineLevel="1">
      <c r="A18" t="inlineStr" s="10">
        <is>
          <t xml:space="preserve">30-van fleets</t>
        </is>
      </c>
      <c r="B18" s="14">
        <f>'Van unit economics and customer'!B6/'Van unit economics and customer'!B15</f>
        <v>0.42763636363636365</v>
      </c>
      <c r="C18" s="14">
        <f>'Van unit economics and customer'!C6/'Van unit economics and customer'!C15</f>
        <v>0.42763636363636365</v>
      </c>
      <c r="D18" s="14">
        <f>'Van unit economics and customer'!D6/'Van unit economics and customer'!D15</f>
        <v>0.42763636363636365</v>
      </c>
      <c r="E18" s="14">
        <f>'Van unit economics and customer'!E6/'Van unit economics and customer'!E15</f>
        <v>0.42763636363636365</v>
      </c>
      <c r="F18" s="14">
        <f>'Van unit economics and customer'!F6/'Van unit economics and customer'!F15</f>
        <v>0.42763636363636365</v>
      </c>
      <c r="G18" s="14">
        <f>'Van unit economics and customer'!G6/'Van unit economics and customer'!G15</f>
        <v>0.42763636363636365</v>
      </c>
      <c r="H18" s="14">
        <f>'Van unit economics and customer'!H6/'Van unit economics and customer'!H15</f>
        <v>0.42763636363636365</v>
      </c>
      <c r="I18" s="14">
        <f>'Van unit economics and customer'!I6/'Van unit economics and customer'!I15</f>
        <v>0.42763636363636365</v>
      </c>
      <c r="J18" s="14">
        <f>'Van unit economics and customer'!J6/'Van unit economics and customer'!J15</f>
        <v>0.42763636363636365</v>
      </c>
      <c r="K18" s="14">
        <f>'Van unit economics and customer'!K6/'Van unit economics and customer'!K15</f>
        <v>0.42763636363636365</v>
      </c>
      <c r="L18" s="14">
        <f>'Van unit economics and customer'!L6/'Van unit economics and customer'!L15</f>
        <v>0.42763636363636365</v>
      </c>
      <c r="M18" s="14">
        <f>'Van unit economics and customer'!M6/'Van unit economics and customer'!M15</f>
        <v>0.42763636363636365</v>
      </c>
      <c r="N18" s="14">
        <f>'Van unit economics and customer'!N6/'Van unit economics and customer'!N15</f>
        <v>0.42763636363636365</v>
      </c>
      <c r="O18" s="14">
        <f>'Van unit economics and customer'!O6/'Van unit economics and customer'!O15</f>
        <v>0.42763636363636365</v>
      </c>
      <c r="P18" s="14">
        <f>'Van unit economics and customer'!P6/'Van unit economics and customer'!P15</f>
        <v>0.42763636363636365</v>
      </c>
      <c r="Q18" s="14">
        <f>'Van unit economics and customer'!Q6/'Van unit economics and customer'!Q15</f>
        <v>0.42763636363636365</v>
      </c>
      <c r="R18" s="14">
        <f>'Van unit economics and customer'!R6/'Van unit economics and customer'!R15</f>
        <v>0.42763636363636365</v>
      </c>
      <c r="S18" s="14">
        <f>'Van unit economics and customer'!S6/'Van unit economics and customer'!S15</f>
        <v>0.42763636363636365</v>
      </c>
      <c r="T18" s="14">
        <f>'Van unit economics and customer'!T6/'Van unit economics and customer'!T15</f>
        <v>0.42763636363636365</v>
      </c>
      <c r="U18" s="14">
        <f>'Van unit economics and customer'!U6/'Van unit economics and customer'!U15</f>
        <v>0.42763636363636365</v>
      </c>
      <c r="V18" s="14">
        <f>'Van unit economics and customer'!V6/'Van unit economics and customer'!V15</f>
        <v>0.42763636363636365</v>
      </c>
      <c r="W18" s="14">
        <f>'Van unit economics and customer'!W6/'Van unit economics and customer'!W15</f>
        <v>0.42763636363636365</v>
      </c>
      <c r="X18" s="14">
        <f>'Van unit economics and customer'!X6/'Van unit economics and customer'!X15</f>
        <v>0.42763636363636365</v>
      </c>
      <c r="Y18" s="14">
        <f>'Van unit economics and customer'!Y6/'Van unit economics and customer'!Y15</f>
        <v>0.42763636363636365</v>
      </c>
    </row>
    <row r="19" outlineLevel="1">
      <c r="A19" t="inlineStr" s="10">
        <is>
          <t xml:space="preserve">80-van fleets</t>
        </is>
      </c>
      <c r="B19" s="14">
        <f>'Van unit economics and customer'!B7/'Van unit economics and customer'!B15</f>
        <v>0.4821818181818182</v>
      </c>
      <c r="C19" s="14">
        <f>'Van unit economics and customer'!C7/'Van unit economics and customer'!C15</f>
        <v>0.4821818181818182</v>
      </c>
      <c r="D19" s="14">
        <f>'Van unit economics and customer'!D7/'Van unit economics and customer'!D15</f>
        <v>0.4821818181818182</v>
      </c>
      <c r="E19" s="14">
        <f>'Van unit economics and customer'!E7/'Van unit economics and customer'!E15</f>
        <v>0.4821818181818182</v>
      </c>
      <c r="F19" s="14">
        <f>'Van unit economics and customer'!F7/'Van unit economics and customer'!F15</f>
        <v>0.4821818181818182</v>
      </c>
      <c r="G19" s="14">
        <f>'Van unit economics and customer'!G7/'Van unit economics and customer'!G15</f>
        <v>0.4821818181818182</v>
      </c>
      <c r="H19" s="14">
        <f>'Van unit economics and customer'!H7/'Van unit economics and customer'!H15</f>
        <v>0.4821818181818182</v>
      </c>
      <c r="I19" s="14">
        <f>'Van unit economics and customer'!I7/'Van unit economics and customer'!I15</f>
        <v>0.4821818181818182</v>
      </c>
      <c r="J19" s="14">
        <f>'Van unit economics and customer'!J7/'Van unit economics and customer'!J15</f>
        <v>0.4821818181818182</v>
      </c>
      <c r="K19" s="14">
        <f>'Van unit economics and customer'!K7/'Van unit economics and customer'!K15</f>
        <v>0.4821818181818182</v>
      </c>
      <c r="L19" s="14">
        <f>'Van unit economics and customer'!L7/'Van unit economics and customer'!L15</f>
        <v>0.4821818181818182</v>
      </c>
      <c r="M19" s="14">
        <f>'Van unit economics and customer'!M7/'Van unit economics and customer'!M15</f>
        <v>0.4821818181818182</v>
      </c>
      <c r="N19" s="14">
        <f>'Van unit economics and customer'!N7/'Van unit economics and customer'!N15</f>
        <v>0.4821818181818182</v>
      </c>
      <c r="O19" s="14">
        <f>'Van unit economics and customer'!O7/'Van unit economics and customer'!O15</f>
        <v>0.4821818181818182</v>
      </c>
      <c r="P19" s="14">
        <f>'Van unit economics and customer'!P7/'Van unit economics and customer'!P15</f>
        <v>0.4821818181818182</v>
      </c>
      <c r="Q19" s="14">
        <f>'Van unit economics and customer'!Q7/'Van unit economics and customer'!Q15</f>
        <v>0.4821818181818182</v>
      </c>
      <c r="R19" s="14">
        <f>'Van unit economics and customer'!R7/'Van unit economics and customer'!R15</f>
        <v>0.4821818181818182</v>
      </c>
      <c r="S19" s="14">
        <f>'Van unit economics and customer'!S7/'Van unit economics and customer'!S15</f>
        <v>0.4821818181818182</v>
      </c>
      <c r="T19" s="14">
        <f>'Van unit economics and customer'!T7/'Van unit economics and customer'!T15</f>
        <v>0.4821818181818182</v>
      </c>
      <c r="U19" s="14">
        <f>'Van unit economics and customer'!U7/'Van unit economics and customer'!U15</f>
        <v>0.4821818181818182</v>
      </c>
      <c r="V19" s="14">
        <f>'Van unit economics and customer'!V7/'Van unit economics and customer'!V15</f>
        <v>0.4821818181818182</v>
      </c>
      <c r="W19" s="14">
        <f>'Van unit economics and customer'!W7/'Van unit economics and customer'!W15</f>
        <v>0.4821818181818182</v>
      </c>
      <c r="X19" s="14">
        <f>'Van unit economics and customer'!X7/'Van unit economics and customer'!X15</f>
        <v>0.4821818181818182</v>
      </c>
      <c r="Y19" s="14">
        <f>'Van unit economics and customer'!Y7/'Van unit economics and customer'!Y15</f>
        <v>0.4821818181818182</v>
      </c>
    </row>
  </sheetData>
  <mergeCells count="1">
    <mergeCell ref="A1:Y1"/>
  </mergeCells>
</worksheet>
</file>

<file path=xl/worksheets/sheet3.xml><?xml version="1.0" encoding="utf-8"?>
<worksheet xmlns="http://schemas.openxmlformats.org/spreadsheetml/2006/main">
  <dimension ref="A1:C8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</cols>
  <sheetData>
    <row r="1" ht="32" customHeight="1">
      <c r="A1" t="inlineStr" s="1">
        <is>
          <t xml:space="preserve">Fleet pricing examples</t>
        </is>
      </c>
    </row>
    <row r="2" ht="20" customHeight="1">
      <c r="A2" t="inlineStr" s="2">
        <is>
          <t xml:space="preserve">Detour — Revenue and van economics · Main Scenario</t>
        </is>
      </c>
    </row>
    <row r="4" ht="22" customHeight="1">
      <c r="A4" t="inlineStr" s="3">
        <is>
          <t xml:space="preserve">Variable / dimension</t>
        </is>
      </c>
      <c r="B4" t="inlineStr" s="5">
        <is>
          <t xml:space="preserve">Example van count</t>
        </is>
      </c>
      <c r="C4" t="inlineStr" s="5">
        <is>
          <t xml:space="preserve">Example monthly bill</t>
        </is>
      </c>
    </row>
    <row r="5">
      <c r="A5" t="inlineStr" s="6">
        <is>
          <t xml:space="preserve">30 vans</t>
        </is>
      </c>
      <c r="B5" s="7">
        <f>30</f>
        <v>30</v>
      </c>
      <c r="C5" s="15">
        <f>'Fleet pricing examples'!B5*'Model inputs'!AA28+IF(IF(IF(IF(ISERROR('Fleet pricing examples'!B5&gt;'Model inputs'!AA24),'Fleet pricing examples'!B5&gt;'Model inputs'!AA24,IF(OR('Fleet pricing examples'!B5="",'Model inputs'!AA24=""),"",'Fleet pricing examples'!B5&gt;'Model inputs'!AA24))="",FALSE,IF(ISERROR('Fleet pricing examples'!B5&gt;'Model inputs'!AA24),'Fleet pricing examples'!B5&gt;'Model inputs'!AA24,IF(OR('Fleet pricing examples'!B5="",'Model inputs'!AA24=""),"",'Fleet pricing examples'!B5&gt;'Model inputs'!AA24))),IF('Model inputs'!AA11="","",'Model inputs'!AA11),0)="",0,IF(IF(IF(ISERROR('Fleet pricing examples'!B5&gt;'Model inputs'!AA24),'Fleet pricing examples'!B5&gt;'Model inputs'!AA24,IF(OR('Fleet pricing examples'!B5="",'Model inputs'!AA24=""),"",'Fleet pricing examples'!B5&gt;'Model inputs'!AA24))="",FALSE,IF(ISERROR('Fleet pricing examples'!B5&gt;'Model inputs'!AA24),'Fleet pricing examples'!B5&gt;'Model inputs'!AA24,IF(OR('Fleet pricing examples'!B5="",'Model inputs'!AA24=""),"",'Fleet pricing examples'!B5&gt;'Model inputs'!AA24))),IF('Model inputs'!AA11="","",'Model inputs'!AA11),0))</f>
        <v>1470</v>
      </c>
    </row>
    <row r="6">
      <c r="A6" t="inlineStr" s="8">
        <is>
          <t xml:space="preserve">50 vans</t>
        </is>
      </c>
      <c r="B6" s="9">
        <f>50</f>
        <v>50</v>
      </c>
      <c r="C6" s="16">
        <f>'Fleet pricing examples'!B6*'Model inputs'!AA28+IF(IF(IF(IF(ISERROR('Fleet pricing examples'!B6&gt;'Model inputs'!AA24),'Fleet pricing examples'!B6&gt;'Model inputs'!AA24,IF(OR('Fleet pricing examples'!B6="",'Model inputs'!AA24=""),"",'Fleet pricing examples'!B6&gt;'Model inputs'!AA24))="",FALSE,IF(ISERROR('Fleet pricing examples'!B6&gt;'Model inputs'!AA24),'Fleet pricing examples'!B6&gt;'Model inputs'!AA24,IF(OR('Fleet pricing examples'!B6="",'Model inputs'!AA24=""),"",'Fleet pricing examples'!B6&gt;'Model inputs'!AA24))),IF('Model inputs'!AA11="","",'Model inputs'!AA11),0)="",0,IF(IF(IF(ISERROR('Fleet pricing examples'!B6&gt;'Model inputs'!AA24),'Fleet pricing examples'!B6&gt;'Model inputs'!AA24,IF(OR('Fleet pricing examples'!B6="",'Model inputs'!AA24=""),"",'Fleet pricing examples'!B6&gt;'Model inputs'!AA24))="",FALSE,IF(ISERROR('Fleet pricing examples'!B6&gt;'Model inputs'!AA24),'Fleet pricing examples'!B6&gt;'Model inputs'!AA24,IF(OR('Fleet pricing examples'!B6="",'Model inputs'!AA24=""),"",'Fleet pricing examples'!B6&gt;'Model inputs'!AA24))),IF('Model inputs'!AA11="","",'Model inputs'!AA11),0))</f>
        <v>2450</v>
      </c>
    </row>
    <row r="7">
      <c r="A7" t="inlineStr" s="8">
        <is>
          <t xml:space="preserve">51 vans</t>
        </is>
      </c>
      <c r="B7" s="9">
        <f>51</f>
        <v>51</v>
      </c>
      <c r="C7" s="16">
        <f>'Fleet pricing examples'!B7*'Model inputs'!AA28+IF(IF(IF(IF(ISERROR('Fleet pricing examples'!B7&gt;'Model inputs'!AA24),'Fleet pricing examples'!B7&gt;'Model inputs'!AA24,IF(OR('Fleet pricing examples'!B7="",'Model inputs'!AA24=""),"",'Fleet pricing examples'!B7&gt;'Model inputs'!AA24))="",FALSE,IF(ISERROR('Fleet pricing examples'!B7&gt;'Model inputs'!AA24),'Fleet pricing examples'!B7&gt;'Model inputs'!AA24,IF(OR('Fleet pricing examples'!B7="",'Model inputs'!AA24=""),"",'Fleet pricing examples'!B7&gt;'Model inputs'!AA24))),IF('Model inputs'!AA11="","",'Model inputs'!AA11),0)="",0,IF(IF(IF(ISERROR('Fleet pricing examples'!B7&gt;'Model inputs'!AA24),'Fleet pricing examples'!B7&gt;'Model inputs'!AA24,IF(OR('Fleet pricing examples'!B7="",'Model inputs'!AA24=""),"",'Fleet pricing examples'!B7&gt;'Model inputs'!AA24))="",FALSE,IF(ISERROR('Fleet pricing examples'!B7&gt;'Model inputs'!AA24),'Fleet pricing examples'!B7&gt;'Model inputs'!AA24,IF(OR('Fleet pricing examples'!B7="",'Model inputs'!AA24=""),"",'Fleet pricing examples'!B7&gt;'Model inputs'!AA24))),IF('Model inputs'!AA11="","",'Model inputs'!AA11),0))</f>
        <v>2999</v>
      </c>
    </row>
    <row r="8">
      <c r="A8" t="inlineStr" s="6">
        <is>
          <t xml:space="preserve">80 vans</t>
        </is>
      </c>
      <c r="B8" s="7">
        <f>80</f>
        <v>80</v>
      </c>
      <c r="C8" s="15">
        <f>'Fleet pricing examples'!B8*'Model inputs'!AA28+IF(IF(IF(IF(ISERROR('Fleet pricing examples'!B8&gt;'Model inputs'!AA24),'Fleet pricing examples'!B8&gt;'Model inputs'!AA24,IF(OR('Fleet pricing examples'!B8="",'Model inputs'!AA24=""),"",'Fleet pricing examples'!B8&gt;'Model inputs'!AA24))="",FALSE,IF(ISERROR('Fleet pricing examples'!B8&gt;'Model inputs'!AA24),'Fleet pricing examples'!B8&gt;'Model inputs'!AA24,IF(OR('Fleet pricing examples'!B8="",'Model inputs'!AA24=""),"",'Fleet pricing examples'!B8&gt;'Model inputs'!AA24))),IF('Model inputs'!AA11="","",'Model inputs'!AA11),0)="",0,IF(IF(IF(ISERROR('Fleet pricing examples'!B8&gt;'Model inputs'!AA24),'Fleet pricing examples'!B8&gt;'Model inputs'!AA24,IF(OR('Fleet pricing examples'!B8="",'Model inputs'!AA24=""),"",'Fleet pricing examples'!B8&gt;'Model inputs'!AA24))="",FALSE,IF(ISERROR('Fleet pricing examples'!B8&gt;'Model inputs'!AA24),'Fleet pricing examples'!B8&gt;'Model inputs'!AA24,IF(OR('Fleet pricing examples'!B8="",'Model inputs'!AA24=""),"",'Fleet pricing examples'!B8&gt;'Model inputs'!AA24))),IF('Model inputs'!AA11="","",'Model inputs'!AA11),0))</f>
        <v>4420</v>
      </c>
    </row>
  </sheetData>
  <mergeCells count="1">
    <mergeCell ref="A1:C1"/>
  </mergeCells>
</worksheet>
</file>

<file path=xl/worksheets/sheet4.xml><?xml version="1.0" encoding="utf-8"?>
<worksheet xmlns="http://schemas.openxmlformats.org/spreadsheetml/2006/main">
  <dimension ref="A1:AB49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  <col min="22" max="22" width="19" customWidth="1"/>
    <col min="23" max="23" width="19" customWidth="1"/>
    <col min="24" max="24" width="19" customWidth="1"/>
    <col min="25" max="25" width="19" customWidth="1"/>
    <col min="26" max="26" width="19" customWidth="1"/>
    <col min="27" max="27" width="19" customWidth="1"/>
    <col min="28" max="28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17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5">
        <is>
          <t xml:space="preserve">2026-09</t>
        </is>
      </c>
      <c r="C5" t="inlineStr" s="4">
        <is>
          <t xml:space="preserve">2026-10</t>
        </is>
      </c>
      <c r="D5" t="inlineStr" s="5">
        <is>
          <t xml:space="preserve">2026-11</t>
        </is>
      </c>
      <c r="E5" t="inlineStr" s="5">
        <is>
          <t xml:space="preserve">2026-12</t>
        </is>
      </c>
      <c r="F5" t="inlineStr" s="4">
        <is>
          <t xml:space="preserve">2027-01</t>
        </is>
      </c>
      <c r="G5" t="inlineStr" s="5">
        <is>
          <t xml:space="preserve">2027-02</t>
        </is>
      </c>
      <c r="H5" t="inlineStr" s="5">
        <is>
          <t xml:space="preserve">2027-03</t>
        </is>
      </c>
      <c r="I5" t="inlineStr" s="4">
        <is>
          <t xml:space="preserve">2027-04</t>
        </is>
      </c>
      <c r="J5" t="inlineStr" s="5">
        <is>
          <t xml:space="preserve">2027-05</t>
        </is>
      </c>
      <c r="K5" t="inlineStr" s="5">
        <is>
          <t xml:space="preserve">2027-06</t>
        </is>
      </c>
      <c r="L5" t="inlineStr" s="4">
        <is>
          <t xml:space="preserve">2027-07</t>
        </is>
      </c>
      <c r="M5" t="inlineStr" s="5">
        <is>
          <t xml:space="preserve">2027-08</t>
        </is>
      </c>
      <c r="N5" t="inlineStr" s="5">
        <is>
          <t xml:space="preserve">2027-09</t>
        </is>
      </c>
      <c r="O5" t="inlineStr" s="4">
        <is>
          <t xml:space="preserve">2027-10</t>
        </is>
      </c>
      <c r="P5" t="inlineStr" s="5">
        <is>
          <t xml:space="preserve">2027-11</t>
        </is>
      </c>
      <c r="Q5" t="inlineStr" s="5">
        <is>
          <t xml:space="preserve">2027-12</t>
        </is>
      </c>
      <c r="R5" t="inlineStr" s="4">
        <is>
          <t xml:space="preserve">2028-01</t>
        </is>
      </c>
      <c r="S5" t="inlineStr" s="5">
        <is>
          <t xml:space="preserve">2028-02</t>
        </is>
      </c>
      <c r="T5" t="inlineStr" s="5">
        <is>
          <t xml:space="preserve">2028-03</t>
        </is>
      </c>
      <c r="U5" t="inlineStr" s="4">
        <is>
          <t xml:space="preserve">2028-04</t>
        </is>
      </c>
      <c r="V5" t="inlineStr" s="5">
        <is>
          <t xml:space="preserve">2028-05</t>
        </is>
      </c>
      <c r="W5" t="inlineStr" s="5">
        <is>
          <t xml:space="preserve">2028-06</t>
        </is>
      </c>
      <c r="X5" t="inlineStr" s="4">
        <is>
          <t xml:space="preserve">2028-07</t>
        </is>
      </c>
      <c r="Y5" t="inlineStr" s="5">
        <is>
          <t xml:space="preserve">2028-08</t>
        </is>
      </c>
      <c r="Z5" t="inlineStr" s="5">
        <is>
          <t xml:space="preserve">2028-09</t>
        </is>
      </c>
      <c r="AA5" t="inlineStr" s="5">
        <is>
          <t xml:space="preserve">Value</t>
        </is>
      </c>
      <c r="AB5" t="inlineStr" s="5">
        <is>
          <t xml:space="preserve">Value</t>
        </is>
      </c>
    </row>
    <row r="6">
      <c r="A6" t="inlineStr" s="18">
        <is>
          <t xml:space="preserve">Active fleet target · Fleet growth and revenue</t>
        </is>
      </c>
      <c r="B6" s="9">
        <v>0</v>
      </c>
      <c r="C6" s="9">
        <f>IF(IF(IF(ISERROR('Model inputs'!C22&lt;'Model inputs'!AA33),'Model inputs'!C22&lt;'Model inputs'!AA33,IF(OR('Model inputs'!C22="",'Model inputs'!AA33=""),"",'Model inputs'!C22&lt;'Model inputs'!AA33))="",FALSE,IF(ISERROR('Model inputs'!C22&lt;'Model inputs'!AA33),'Model inputs'!C22&lt;'Model inputs'!AA33,IF(OR('Model inputs'!C22="",'Model inputs'!AA33=""),"",'Model inputs'!C22&lt;'Model inputs'!AA33))),0,ROUND('Model inputs'!AA32+('Model inputs'!AA31-'Model inputs'!AA32)*('Model inputs'!C22-'Model inputs'!AA33)/('Model inputs'!AA34-'Model inputs'!AA33),0))</f>
        <v>0</v>
      </c>
      <c r="D6" s="9">
        <f>IF(IF(IF(ISERROR('Model inputs'!D22&lt;'Model inputs'!AA33),'Model inputs'!D22&lt;'Model inputs'!AA33,IF(OR('Model inputs'!D22="",'Model inputs'!AA33=""),"",'Model inputs'!D22&lt;'Model inputs'!AA33))="",FALSE,IF(ISERROR('Model inputs'!D22&lt;'Model inputs'!AA33),'Model inputs'!D22&lt;'Model inputs'!AA33,IF(OR('Model inputs'!D22="",'Model inputs'!AA33=""),"",'Model inputs'!D22&lt;'Model inputs'!AA33))),0,ROUND('Model inputs'!AA32+('Model inputs'!AA31-'Model inputs'!AA32)*('Model inputs'!D22-'Model inputs'!AA33)/('Model inputs'!AA34-'Model inputs'!AA33),0))</f>
        <v>0</v>
      </c>
      <c r="E6" s="9">
        <f>IF(IF(IF(ISERROR('Model inputs'!E22&lt;'Model inputs'!AA33),'Model inputs'!E22&lt;'Model inputs'!AA33,IF(OR('Model inputs'!E22="",'Model inputs'!AA33=""),"",'Model inputs'!E22&lt;'Model inputs'!AA33))="",FALSE,IF(ISERROR('Model inputs'!E22&lt;'Model inputs'!AA33),'Model inputs'!E22&lt;'Model inputs'!AA33,IF(OR('Model inputs'!E22="",'Model inputs'!AA33=""),"",'Model inputs'!E22&lt;'Model inputs'!AA33))),0,ROUND('Model inputs'!AA32+('Model inputs'!AA31-'Model inputs'!AA32)*('Model inputs'!E22-'Model inputs'!AA33)/('Model inputs'!AA34-'Model inputs'!AA33),0))</f>
        <v>3</v>
      </c>
      <c r="F6" s="9">
        <f>IF(IF(IF(ISERROR('Model inputs'!F22&lt;'Model inputs'!AA33),'Model inputs'!F22&lt;'Model inputs'!AA33,IF(OR('Model inputs'!F22="",'Model inputs'!AA33=""),"",'Model inputs'!F22&lt;'Model inputs'!AA33))="",FALSE,IF(ISERROR('Model inputs'!F22&lt;'Model inputs'!AA33),'Model inputs'!F22&lt;'Model inputs'!AA33,IF(OR('Model inputs'!F22="",'Model inputs'!AA33=""),"",'Model inputs'!F22&lt;'Model inputs'!AA33))),0,ROUND('Model inputs'!AA32+('Model inputs'!AA31-'Model inputs'!AA32)*('Model inputs'!F22-'Model inputs'!AA33)/('Model inputs'!AA34-'Model inputs'!AA33),0))</f>
        <v>6</v>
      </c>
      <c r="G6" s="9">
        <f>IF(IF(IF(ISERROR('Model inputs'!G22&lt;'Model inputs'!AA33),'Model inputs'!G22&lt;'Model inputs'!AA33,IF(OR('Model inputs'!G22="",'Model inputs'!AA33=""),"",'Model inputs'!G22&lt;'Model inputs'!AA33))="",FALSE,IF(ISERROR('Model inputs'!G22&lt;'Model inputs'!AA33),'Model inputs'!G22&lt;'Model inputs'!AA33,IF(OR('Model inputs'!G22="",'Model inputs'!AA33=""),"",'Model inputs'!G22&lt;'Model inputs'!AA33))),0,ROUND('Model inputs'!AA32+('Model inputs'!AA31-'Model inputs'!AA32)*('Model inputs'!G22-'Model inputs'!AA33)/('Model inputs'!AA34-'Model inputs'!AA33),0))</f>
        <v>8</v>
      </c>
      <c r="H6" s="9">
        <f>IF(IF(IF(ISERROR('Model inputs'!H22&lt;'Model inputs'!AA33),'Model inputs'!H22&lt;'Model inputs'!AA33,IF(OR('Model inputs'!H22="",'Model inputs'!AA33=""),"",'Model inputs'!H22&lt;'Model inputs'!AA33))="",FALSE,IF(ISERROR('Model inputs'!H22&lt;'Model inputs'!AA33),'Model inputs'!H22&lt;'Model inputs'!AA33,IF(OR('Model inputs'!H22="",'Model inputs'!AA33=""),"",'Model inputs'!H22&lt;'Model inputs'!AA33))),0,ROUND('Model inputs'!AA32+('Model inputs'!AA31-'Model inputs'!AA32)*('Model inputs'!H22-'Model inputs'!AA33)/('Model inputs'!AA34-'Model inputs'!AA33),0))</f>
        <v>11</v>
      </c>
      <c r="I6" s="9">
        <f>IF(IF(IF(ISERROR('Model inputs'!I22&lt;'Model inputs'!AA33),'Model inputs'!I22&lt;'Model inputs'!AA33,IF(OR('Model inputs'!I22="",'Model inputs'!AA33=""),"",'Model inputs'!I22&lt;'Model inputs'!AA33))="",FALSE,IF(ISERROR('Model inputs'!I22&lt;'Model inputs'!AA33),'Model inputs'!I22&lt;'Model inputs'!AA33,IF(OR('Model inputs'!I22="",'Model inputs'!AA33=""),"",'Model inputs'!I22&lt;'Model inputs'!AA33))),0,ROUND('Model inputs'!AA32+('Model inputs'!AA31-'Model inputs'!AA32)*('Model inputs'!I22-'Model inputs'!AA33)/('Model inputs'!AA34-'Model inputs'!AA33),0))</f>
        <v>14</v>
      </c>
      <c r="J6" s="9">
        <f>IF(IF(IF(ISERROR('Model inputs'!J22&lt;'Model inputs'!AA33),'Model inputs'!J22&lt;'Model inputs'!AA33,IF(OR('Model inputs'!J22="",'Model inputs'!AA33=""),"",'Model inputs'!J22&lt;'Model inputs'!AA33))="",FALSE,IF(ISERROR('Model inputs'!J22&lt;'Model inputs'!AA33),'Model inputs'!J22&lt;'Model inputs'!AA33,IF(OR('Model inputs'!J22="",'Model inputs'!AA33=""),"",'Model inputs'!J22&lt;'Model inputs'!AA33))),0,ROUND('Model inputs'!AA32+('Model inputs'!AA31-'Model inputs'!AA32)*('Model inputs'!J22-'Model inputs'!AA33)/('Model inputs'!AA34-'Model inputs'!AA33),0))</f>
        <v>17</v>
      </c>
      <c r="K6" s="9">
        <f>IF(IF(IF(ISERROR('Model inputs'!K22&lt;'Model inputs'!AA33),'Model inputs'!K22&lt;'Model inputs'!AA33,IF(OR('Model inputs'!K22="",'Model inputs'!AA33=""),"",'Model inputs'!K22&lt;'Model inputs'!AA33))="",FALSE,IF(ISERROR('Model inputs'!K22&lt;'Model inputs'!AA33),'Model inputs'!K22&lt;'Model inputs'!AA33,IF(OR('Model inputs'!K22="",'Model inputs'!AA33=""),"",'Model inputs'!K22&lt;'Model inputs'!AA33))),0,ROUND('Model inputs'!AA32+('Model inputs'!AA31-'Model inputs'!AA32)*('Model inputs'!K22-'Model inputs'!AA33)/('Model inputs'!AA34-'Model inputs'!AA33),0))</f>
        <v>19</v>
      </c>
      <c r="L6" s="9">
        <f>IF(IF(IF(ISERROR('Model inputs'!L22&lt;'Model inputs'!AA33),'Model inputs'!L22&lt;'Model inputs'!AA33,IF(OR('Model inputs'!L22="",'Model inputs'!AA33=""),"",'Model inputs'!L22&lt;'Model inputs'!AA33))="",FALSE,IF(ISERROR('Model inputs'!L22&lt;'Model inputs'!AA33),'Model inputs'!L22&lt;'Model inputs'!AA33,IF(OR('Model inputs'!L22="",'Model inputs'!AA33=""),"",'Model inputs'!L22&lt;'Model inputs'!AA33))),0,ROUND('Model inputs'!AA32+('Model inputs'!AA31-'Model inputs'!AA32)*('Model inputs'!L22-'Model inputs'!AA33)/('Model inputs'!AA34-'Model inputs'!AA33),0))</f>
        <v>22</v>
      </c>
      <c r="M6" s="9">
        <f>IF(IF(IF(ISERROR('Model inputs'!M22&lt;'Model inputs'!AA33),'Model inputs'!M22&lt;'Model inputs'!AA33,IF(OR('Model inputs'!M22="",'Model inputs'!AA33=""),"",'Model inputs'!M22&lt;'Model inputs'!AA33))="",FALSE,IF(ISERROR('Model inputs'!M22&lt;'Model inputs'!AA33),'Model inputs'!M22&lt;'Model inputs'!AA33,IF(OR('Model inputs'!M22="",'Model inputs'!AA33=""),"",'Model inputs'!M22&lt;'Model inputs'!AA33))),0,ROUND('Model inputs'!AA32+('Model inputs'!AA31-'Model inputs'!AA32)*('Model inputs'!M22-'Model inputs'!AA33)/('Model inputs'!AA34-'Model inputs'!AA33),0))</f>
        <v>25</v>
      </c>
      <c r="N6" s="9">
        <f>IF(IF(IF(ISERROR('Model inputs'!N22&lt;'Model inputs'!AA33),'Model inputs'!N22&lt;'Model inputs'!AA33,IF(OR('Model inputs'!N22="",'Model inputs'!AA33=""),"",'Model inputs'!N22&lt;'Model inputs'!AA33))="",FALSE,IF(ISERROR('Model inputs'!N22&lt;'Model inputs'!AA33),'Model inputs'!N22&lt;'Model inputs'!AA33,IF(OR('Model inputs'!N22="",'Model inputs'!AA33=""),"",'Model inputs'!N22&lt;'Model inputs'!AA33))),0,ROUND('Model inputs'!AA32+('Model inputs'!AA31-'Model inputs'!AA32)*('Model inputs'!N22-'Model inputs'!AA33)/('Model inputs'!AA34-'Model inputs'!AA33),0))</f>
        <v>27</v>
      </c>
      <c r="O6" s="9">
        <f>IF(IF(IF(ISERROR('Model inputs'!O22&lt;'Model inputs'!AA33),'Model inputs'!O22&lt;'Model inputs'!AA33,IF(OR('Model inputs'!O22="",'Model inputs'!AA33=""),"",'Model inputs'!O22&lt;'Model inputs'!AA33))="",FALSE,IF(ISERROR('Model inputs'!O22&lt;'Model inputs'!AA33),'Model inputs'!O22&lt;'Model inputs'!AA33,IF(OR('Model inputs'!O22="",'Model inputs'!AA33=""),"",'Model inputs'!O22&lt;'Model inputs'!AA33))),0,ROUND('Model inputs'!AA32+('Model inputs'!AA31-'Model inputs'!AA32)*('Model inputs'!O22-'Model inputs'!AA33)/('Model inputs'!AA34-'Model inputs'!AA33),0))</f>
        <v>30</v>
      </c>
      <c r="P6" s="9">
        <f>IF(IF(IF(ISERROR('Model inputs'!P22&lt;'Model inputs'!AA33),'Model inputs'!P22&lt;'Model inputs'!AA33,IF(OR('Model inputs'!P22="",'Model inputs'!AA33=""),"",'Model inputs'!P22&lt;'Model inputs'!AA33))="",FALSE,IF(ISERROR('Model inputs'!P22&lt;'Model inputs'!AA33),'Model inputs'!P22&lt;'Model inputs'!AA33,IF(OR('Model inputs'!P22="",'Model inputs'!AA33=""),"",'Model inputs'!P22&lt;'Model inputs'!AA33))),0,ROUND('Model inputs'!AA32+('Model inputs'!AA31-'Model inputs'!AA32)*('Model inputs'!P22-'Model inputs'!AA33)/('Model inputs'!AA34-'Model inputs'!AA33),0))</f>
        <v>33</v>
      </c>
      <c r="Q6" s="9">
        <f>IF(IF(IF(ISERROR('Model inputs'!Q22&lt;'Model inputs'!AA33),'Model inputs'!Q22&lt;'Model inputs'!AA33,IF(OR('Model inputs'!Q22="",'Model inputs'!AA33=""),"",'Model inputs'!Q22&lt;'Model inputs'!AA33))="",FALSE,IF(ISERROR('Model inputs'!Q22&lt;'Model inputs'!AA33),'Model inputs'!Q22&lt;'Model inputs'!AA33,IF(OR('Model inputs'!Q22="",'Model inputs'!AA33=""),"",'Model inputs'!Q22&lt;'Model inputs'!AA33))),0,ROUND('Model inputs'!AA32+('Model inputs'!AA31-'Model inputs'!AA32)*('Model inputs'!Q22-'Model inputs'!AA33)/('Model inputs'!AA34-'Model inputs'!AA33),0))</f>
        <v>36</v>
      </c>
      <c r="R6" s="9">
        <f>IF(IF(IF(ISERROR('Model inputs'!R22&lt;'Model inputs'!AA33),'Model inputs'!R22&lt;'Model inputs'!AA33,IF(OR('Model inputs'!R22="",'Model inputs'!AA33=""),"",'Model inputs'!R22&lt;'Model inputs'!AA33))="",FALSE,IF(ISERROR('Model inputs'!R22&lt;'Model inputs'!AA33),'Model inputs'!R22&lt;'Model inputs'!AA33,IF(OR('Model inputs'!R22="",'Model inputs'!AA33=""),"",'Model inputs'!R22&lt;'Model inputs'!AA33))),0,ROUND('Model inputs'!AA32+('Model inputs'!AA31-'Model inputs'!AA32)*('Model inputs'!R22-'Model inputs'!AA33)/('Model inputs'!AA34-'Model inputs'!AA33),0))</f>
        <v>38</v>
      </c>
      <c r="S6" s="9">
        <f>IF(IF(IF(ISERROR('Model inputs'!S22&lt;'Model inputs'!AA33),'Model inputs'!S22&lt;'Model inputs'!AA33,IF(OR('Model inputs'!S22="",'Model inputs'!AA33=""),"",'Model inputs'!S22&lt;'Model inputs'!AA33))="",FALSE,IF(ISERROR('Model inputs'!S22&lt;'Model inputs'!AA33),'Model inputs'!S22&lt;'Model inputs'!AA33,IF(OR('Model inputs'!S22="",'Model inputs'!AA33=""),"",'Model inputs'!S22&lt;'Model inputs'!AA33))),0,ROUND('Model inputs'!AA32+('Model inputs'!AA31-'Model inputs'!AA32)*('Model inputs'!S22-'Model inputs'!AA33)/('Model inputs'!AA34-'Model inputs'!AA33),0))</f>
        <v>41</v>
      </c>
      <c r="T6" s="9">
        <f>IF(IF(IF(ISERROR('Model inputs'!T22&lt;'Model inputs'!AA33),'Model inputs'!T22&lt;'Model inputs'!AA33,IF(OR('Model inputs'!T22="",'Model inputs'!AA33=""),"",'Model inputs'!T22&lt;'Model inputs'!AA33))="",FALSE,IF(ISERROR('Model inputs'!T22&lt;'Model inputs'!AA33),'Model inputs'!T22&lt;'Model inputs'!AA33,IF(OR('Model inputs'!T22="",'Model inputs'!AA33=""),"",'Model inputs'!T22&lt;'Model inputs'!AA33))),0,ROUND('Model inputs'!AA32+('Model inputs'!AA31-'Model inputs'!AA32)*('Model inputs'!T22-'Model inputs'!AA33)/('Model inputs'!AA34-'Model inputs'!AA33),0))</f>
        <v>44</v>
      </c>
      <c r="U6" s="9">
        <f>IF(IF(IF(ISERROR('Model inputs'!U22&lt;'Model inputs'!AA33),'Model inputs'!U22&lt;'Model inputs'!AA33,IF(OR('Model inputs'!U22="",'Model inputs'!AA33=""),"",'Model inputs'!U22&lt;'Model inputs'!AA33))="",FALSE,IF(ISERROR('Model inputs'!U22&lt;'Model inputs'!AA33),'Model inputs'!U22&lt;'Model inputs'!AA33,IF(OR('Model inputs'!U22="",'Model inputs'!AA33=""),"",'Model inputs'!U22&lt;'Model inputs'!AA33))),0,ROUND('Model inputs'!AA32+('Model inputs'!AA31-'Model inputs'!AA32)*('Model inputs'!U22-'Model inputs'!AA33)/('Model inputs'!AA34-'Model inputs'!AA33),0))</f>
        <v>46</v>
      </c>
      <c r="V6" s="9">
        <f>IF(IF(IF(ISERROR('Model inputs'!V22&lt;'Model inputs'!AA33),'Model inputs'!V22&lt;'Model inputs'!AA33,IF(OR('Model inputs'!V22="",'Model inputs'!AA33=""),"",'Model inputs'!V22&lt;'Model inputs'!AA33))="",FALSE,IF(ISERROR('Model inputs'!V22&lt;'Model inputs'!AA33),'Model inputs'!V22&lt;'Model inputs'!AA33,IF(OR('Model inputs'!V22="",'Model inputs'!AA33=""),"",'Model inputs'!V22&lt;'Model inputs'!AA33))),0,ROUND('Model inputs'!AA32+('Model inputs'!AA31-'Model inputs'!AA32)*('Model inputs'!V22-'Model inputs'!AA33)/('Model inputs'!AA34-'Model inputs'!AA33),0))</f>
        <v>49</v>
      </c>
      <c r="W6" s="9">
        <f>IF(IF(IF(ISERROR('Model inputs'!W22&lt;'Model inputs'!AA33),'Model inputs'!W22&lt;'Model inputs'!AA33,IF(OR('Model inputs'!W22="",'Model inputs'!AA33=""),"",'Model inputs'!W22&lt;'Model inputs'!AA33))="",FALSE,IF(ISERROR('Model inputs'!W22&lt;'Model inputs'!AA33),'Model inputs'!W22&lt;'Model inputs'!AA33,IF(OR('Model inputs'!W22="",'Model inputs'!AA33=""),"",'Model inputs'!W22&lt;'Model inputs'!AA33))),0,ROUND('Model inputs'!AA32+('Model inputs'!AA31-'Model inputs'!AA32)*('Model inputs'!W22-'Model inputs'!AA33)/('Model inputs'!AA34-'Model inputs'!AA33),0))</f>
        <v>52</v>
      </c>
      <c r="X6" s="9">
        <f>IF(IF(IF(ISERROR('Model inputs'!X22&lt;'Model inputs'!AA33),'Model inputs'!X22&lt;'Model inputs'!AA33,IF(OR('Model inputs'!X22="",'Model inputs'!AA33=""),"",'Model inputs'!X22&lt;'Model inputs'!AA33))="",FALSE,IF(ISERROR('Model inputs'!X22&lt;'Model inputs'!AA33),'Model inputs'!X22&lt;'Model inputs'!AA33,IF(OR('Model inputs'!X22="",'Model inputs'!AA33=""),"",'Model inputs'!X22&lt;'Model inputs'!AA33))),0,ROUND('Model inputs'!AA32+('Model inputs'!AA31-'Model inputs'!AA32)*('Model inputs'!X22-'Model inputs'!AA33)/('Model inputs'!AA34-'Model inputs'!AA33),0))</f>
        <v>55</v>
      </c>
      <c r="Y6" s="9">
        <f>IF(IF(IF(ISERROR('Model inputs'!Y22&lt;'Model inputs'!AA33),'Model inputs'!Y22&lt;'Model inputs'!AA33,IF(OR('Model inputs'!Y22="",'Model inputs'!AA33=""),"",'Model inputs'!Y22&lt;'Model inputs'!AA33))="",FALSE,IF(ISERROR('Model inputs'!Y22&lt;'Model inputs'!AA33),'Model inputs'!Y22&lt;'Model inputs'!AA33,IF(OR('Model inputs'!Y22="",'Model inputs'!AA33=""),"",'Model inputs'!Y22&lt;'Model inputs'!AA33))),0,ROUND('Model inputs'!AA32+('Model inputs'!AA31-'Model inputs'!AA32)*('Model inputs'!Y22-'Model inputs'!AA33)/('Model inputs'!AA34-'Model inputs'!AA33),0))</f>
        <v>57</v>
      </c>
      <c r="Z6" s="9">
        <f>IF(IF(IF(ISERROR('Model inputs'!Z22&lt;'Model inputs'!AA33),'Model inputs'!Z22&lt;'Model inputs'!AA33,IF(OR('Model inputs'!Z22="",'Model inputs'!AA33=""),"",'Model inputs'!Z22&lt;'Model inputs'!AA33))="",FALSE,IF(ISERROR('Model inputs'!Z22&lt;'Model inputs'!AA33),'Model inputs'!Z22&lt;'Model inputs'!AA33,IF(OR('Model inputs'!Z22="",'Model inputs'!AA33=""),"",'Model inputs'!Z22&lt;'Model inputs'!AA33))),0,ROUND('Model inputs'!AA32+('Model inputs'!AA31-'Model inputs'!AA32)*('Model inputs'!Z22-'Model inputs'!AA33)/('Model inputs'!AA34-'Model inputs'!AA33),0))</f>
        <v>60</v>
      </c>
    </row>
    <row r="7">
      <c r="A7" t="inlineStr" s="18">
        <is>
          <t xml:space="preserve">AI cost per van day</t>
        </is>
      </c>
      <c r="AA7" s="12">
        <f>0.4</f>
        <v>0.4</v>
      </c>
    </row>
    <row r="8">
      <c r="A8" t="inlineStr" s="18">
        <is>
          <t xml:space="preserve">Cloud cost per active van</t>
        </is>
      </c>
      <c r="AA8" s="9">
        <f>0.5</f>
        <v>0.5</v>
      </c>
    </row>
    <row r="9">
      <c r="A9" t="inlineStr" s="18">
        <is>
          <t xml:space="preserve">Dispatcher annual cost</t>
        </is>
      </c>
      <c r="AA9" s="9">
        <f>55000</f>
        <v>55000</v>
      </c>
    </row>
    <row r="10">
      <c r="A10" t="inlineStr" s="18">
        <is>
          <t xml:space="preserve">Large fleet launch month · Fleet growth and revenue</t>
        </is>
      </c>
      <c r="AA10" s="9">
        <f>6</f>
        <v>6</v>
      </c>
    </row>
    <row r="11">
      <c r="A11" t="inlineStr" s="18">
        <is>
          <t xml:space="preserve">Large fleet platform fee · Fleet growth and revenue</t>
        </is>
      </c>
      <c r="AA11" s="12">
        <f>500</f>
        <v>500</v>
      </c>
    </row>
    <row r="12">
      <c r="A12" t="inlineStr" s="18">
        <is>
          <t xml:space="preserve">Large fleet platform fee · Fleet pricing examples</t>
        </is>
      </c>
      <c r="AB12" s="12">
        <f>'Model inputs'!AA11</f>
        <v>500</v>
      </c>
    </row>
    <row r="13">
      <c r="A13" t="inlineStr" s="18">
        <is>
          <t xml:space="preserve">Large fleet share · Fleet growth and revenue</t>
        </is>
      </c>
      <c r="AA13" s="14">
        <f>0.2</f>
        <v>0.2</v>
      </c>
    </row>
    <row r="14">
      <c r="A14" t="inlineStr" s="18">
        <is>
          <t xml:space="preserve">Large fleet vans</t>
        </is>
      </c>
      <c r="AA14" s="9">
        <f>80</f>
        <v>80</v>
      </c>
    </row>
    <row r="15">
      <c r="A15" t="inlineStr" s="18">
        <is>
          <t xml:space="preserve">Late delivery cost</t>
        </is>
      </c>
      <c r="AA15" s="9">
        <f>8</f>
        <v>8</v>
      </c>
    </row>
    <row r="16">
      <c r="A16" t="inlineStr" s="18">
        <is>
          <t xml:space="preserve">Late delivery rate</t>
        </is>
      </c>
      <c r="AA16" s="14">
        <f>0.03</f>
        <v>0.03</v>
      </c>
    </row>
    <row r="17">
      <c r="A17" t="inlineStr" s="18">
        <is>
          <t xml:space="preserve">Late delivery reduction</t>
        </is>
      </c>
      <c r="AA17" s="14">
        <f>0.3</f>
        <v>0.3</v>
      </c>
    </row>
    <row r="18">
      <c r="A18" t="inlineStr" s="18">
        <is>
          <t xml:space="preserve">Maps cost per van month</t>
        </is>
      </c>
      <c r="AA18" s="9">
        <f>2</f>
        <v>2</v>
      </c>
    </row>
    <row r="19">
      <c r="A19" t="inlineStr" s="18">
        <is>
          <t xml:space="preserve">Monthly deliveries per van</t>
        </is>
      </c>
      <c r="AA19" s="9">
        <f>600</f>
        <v>600</v>
      </c>
    </row>
    <row r="20">
      <c r="A20" t="inlineStr" s="18">
        <is>
          <t xml:space="preserve">Monthly fleet churn</t>
        </is>
      </c>
      <c r="AA20" s="14">
        <f>0.01</f>
        <v>0.01</v>
      </c>
    </row>
    <row r="21">
      <c r="A21" t="inlineStr" s="18">
        <is>
          <t xml:space="preserve">Payment processing rate</t>
        </is>
      </c>
      <c r="AA21" s="14">
        <f>0.03</f>
        <v>0.03</v>
      </c>
    </row>
    <row r="22">
      <c r="A22" t="inlineStr" s="18">
        <is>
          <t xml:space="preserve">Plan month · Fleet growth and revenue</t>
        </is>
      </c>
      <c r="B22" s="9">
        <v>0</v>
      </c>
      <c r="C22" s="9">
        <f>DATEDIF('Model inputs'!AA23,DATE(2026,10,1),"M")+1</f>
        <v>1</v>
      </c>
      <c r="D22" s="9">
        <f>DATEDIF('Model inputs'!AA23,DATE(2026,11,1),"M")+1</f>
        <v>2</v>
      </c>
      <c r="E22" s="9">
        <f>DATEDIF('Model inputs'!AA23,DATE(2026,12,1),"M")+1</f>
        <v>3</v>
      </c>
      <c r="F22" s="9">
        <f>DATEDIF('Model inputs'!AA23,DATE(2027,1,1),"M")+1</f>
        <v>4</v>
      </c>
      <c r="G22" s="9">
        <f>DATEDIF('Model inputs'!AA23,DATE(2027,2,1),"M")+1</f>
        <v>5</v>
      </c>
      <c r="H22" s="9">
        <f>DATEDIF('Model inputs'!AA23,DATE(2027,3,1),"M")+1</f>
        <v>6</v>
      </c>
      <c r="I22" s="9">
        <f>DATEDIF('Model inputs'!AA23,DATE(2027,4,1),"M")+1</f>
        <v>7</v>
      </c>
      <c r="J22" s="9">
        <f>DATEDIF('Model inputs'!AA23,DATE(2027,5,1),"M")+1</f>
        <v>8</v>
      </c>
      <c r="K22" s="9">
        <f>DATEDIF('Model inputs'!AA23,DATE(2027,6,1),"M")+1</f>
        <v>9</v>
      </c>
      <c r="L22" s="9">
        <f>DATEDIF('Model inputs'!AA23,DATE(2027,7,1),"M")+1</f>
        <v>10</v>
      </c>
      <c r="M22" s="9">
        <f>DATEDIF('Model inputs'!AA23,DATE(2027,8,1),"M")+1</f>
        <v>11</v>
      </c>
      <c r="N22" s="9">
        <f>DATEDIF('Model inputs'!AA23,DATE(2027,9,1),"M")+1</f>
        <v>12</v>
      </c>
      <c r="O22" s="9">
        <f>DATEDIF('Model inputs'!AA23,DATE(2027,10,1),"M")+1</f>
        <v>13</v>
      </c>
      <c r="P22" s="9">
        <f>DATEDIF('Model inputs'!AA23,DATE(2027,11,1),"M")+1</f>
        <v>14</v>
      </c>
      <c r="Q22" s="9">
        <f>DATEDIF('Model inputs'!AA23,DATE(2027,12,1),"M")+1</f>
        <v>15</v>
      </c>
      <c r="R22" s="9">
        <f>DATEDIF('Model inputs'!AA23,DATE(2028,1,1),"M")+1</f>
        <v>16</v>
      </c>
      <c r="S22" s="9">
        <f>DATEDIF('Model inputs'!AA23,DATE(2028,2,1),"M")+1</f>
        <v>17</v>
      </c>
      <c r="T22" s="9">
        <f>DATEDIF('Model inputs'!AA23,DATE(2028,3,1),"M")+1</f>
        <v>18</v>
      </c>
      <c r="U22" s="9">
        <f>DATEDIF('Model inputs'!AA23,DATE(2028,4,1),"M")+1</f>
        <v>19</v>
      </c>
      <c r="V22" s="9">
        <f>DATEDIF('Model inputs'!AA23,DATE(2028,5,1),"M")+1</f>
        <v>20</v>
      </c>
      <c r="W22" s="9">
        <f>DATEDIF('Model inputs'!AA23,DATE(2028,6,1),"M")+1</f>
        <v>21</v>
      </c>
      <c r="X22" s="9">
        <f>DATEDIF('Model inputs'!AA23,DATE(2028,7,1),"M")+1</f>
        <v>22</v>
      </c>
      <c r="Y22" s="9">
        <f>DATEDIF('Model inputs'!AA23,DATE(2028,8,1),"M")+1</f>
        <v>23</v>
      </c>
      <c r="Z22" s="9">
        <f>DATEDIF('Model inputs'!AA23,DATE(2028,9,1),"M")+1</f>
        <v>24</v>
      </c>
    </row>
    <row r="23">
      <c r="A23" t="inlineStr" s="18">
        <is>
          <t xml:space="preserve">Plan start date · Fleet growth and revenue</t>
        </is>
      </c>
      <c r="AA23" s="19">
        <f>DATE(2026,10,1)</f>
        <v>46296</v>
      </c>
    </row>
    <row r="24">
      <c r="A24" t="inlineStr" s="18">
        <is>
          <t xml:space="preserve">Platform fee van threshold · Fleet growth and revenue</t>
        </is>
      </c>
      <c r="AA24" s="9">
        <f>50</f>
        <v>50</v>
      </c>
    </row>
    <row r="25">
      <c r="A25" t="inlineStr" s="18">
        <is>
          <t xml:space="preserve">Platform fee van threshold · Fleet pricing examples</t>
        </is>
      </c>
      <c r="AB25" s="9">
        <f>'Model inputs'!AA24</f>
        <v>50</v>
      </c>
    </row>
    <row r="26">
      <c r="A26" t="inlineStr" s="18">
        <is>
          <t xml:space="preserve">Service credit rate</t>
        </is>
      </c>
      <c r="AA26" s="14">
        <f>0.01</f>
        <v>0.01</v>
      </c>
    </row>
    <row r="27">
      <c r="A27" t="inlineStr" s="18">
        <is>
          <t xml:space="preserve">Small fleet vans</t>
        </is>
      </c>
      <c r="AA27" s="9">
        <f>30</f>
        <v>30</v>
      </c>
    </row>
    <row r="28">
      <c r="A28" t="inlineStr" s="18">
        <is>
          <t xml:space="preserve">Van monthly price · Fleet growth and revenue</t>
        </is>
      </c>
      <c r="AA28" s="12">
        <f>49</f>
        <v>49</v>
      </c>
    </row>
    <row r="29">
      <c r="A29" t="inlineStr" s="18">
        <is>
          <t xml:space="preserve">Van monthly price · Fleet pricing examples</t>
        </is>
      </c>
      <c r="AB29" s="12">
        <f>'Model inputs'!AA28</f>
        <v>49</v>
      </c>
    </row>
    <row r="30">
      <c r="A30" t="inlineStr" s="18">
        <is>
          <t xml:space="preserve">Vans per dispatcher</t>
        </is>
      </c>
      <c r="AA30" s="9">
        <f>40</f>
        <v>40</v>
      </c>
    </row>
    <row r="31">
      <c r="A31" t="inlineStr" s="18">
        <is>
          <t xml:space="preserve">Month 24 fleet target · Fleet growth and revenue</t>
        </is>
      </c>
      <c r="AA31" s="9">
        <f>60</f>
        <v>60</v>
      </c>
    </row>
    <row r="32">
      <c r="A32" t="inlineStr" s="18">
        <is>
          <t xml:space="preserve">Pilot fleet count · Fleet growth and revenue</t>
        </is>
      </c>
      <c r="AA32" s="9">
        <f>3</f>
        <v>3</v>
      </c>
    </row>
    <row r="33">
      <c r="A33" t="inlineStr" s="18">
        <is>
          <t xml:space="preserve">Pilot launch month · Fleet growth and revenue</t>
        </is>
      </c>
      <c r="AA33" s="9">
        <f>3</f>
        <v>3</v>
      </c>
    </row>
    <row r="34">
      <c r="A34" t="inlineStr" s="18">
        <is>
          <t xml:space="preserve">Plan length months · Fleet growth and revenue</t>
        </is>
      </c>
      <c r="AA34" s="9">
        <f>24</f>
        <v>24</v>
      </c>
    </row>
    <row r="35">
      <c r="A35" t="inlineStr" s="18">
        <is>
          <t xml:space="preserve">Active fleets</t>
        </is>
      </c>
      <c r="C35" s="7">
        <f>SUM('Model inputs'!C36,'Model inputs'!C37)</f>
        <v>0</v>
      </c>
      <c r="D35" s="7">
        <f>SUM('Model inputs'!D36,'Model inputs'!D37)</f>
        <v>0</v>
      </c>
      <c r="E35" s="7">
        <f>SUM('Model inputs'!E36,'Model inputs'!E37)</f>
        <v>3</v>
      </c>
      <c r="F35" s="7">
        <f>SUM('Model inputs'!F36,'Model inputs'!F37)</f>
        <v>6</v>
      </c>
      <c r="G35" s="7">
        <f>SUM('Model inputs'!G36,'Model inputs'!G37)</f>
        <v>8</v>
      </c>
      <c r="H35" s="7">
        <f>SUM('Model inputs'!H36,'Model inputs'!H37)</f>
        <v>11</v>
      </c>
      <c r="I35" s="7">
        <f>SUM('Model inputs'!I36,'Model inputs'!I37)</f>
        <v>14</v>
      </c>
      <c r="J35" s="7">
        <f>SUM('Model inputs'!J36,'Model inputs'!J37)</f>
        <v>17</v>
      </c>
      <c r="K35" s="7">
        <f>SUM('Model inputs'!K36,'Model inputs'!K37)</f>
        <v>19</v>
      </c>
      <c r="L35" s="7">
        <f>SUM('Model inputs'!L36,'Model inputs'!L37)</f>
        <v>22</v>
      </c>
      <c r="M35" s="7">
        <f>SUM('Model inputs'!M36,'Model inputs'!M37)</f>
        <v>25</v>
      </c>
      <c r="N35" s="7">
        <f>SUM('Model inputs'!N36,'Model inputs'!N37)</f>
        <v>27</v>
      </c>
      <c r="O35" s="7">
        <f>SUM('Model inputs'!O36,'Model inputs'!O37)</f>
        <v>30</v>
      </c>
      <c r="P35" s="7">
        <f>SUM('Model inputs'!P36,'Model inputs'!P37)</f>
        <v>33</v>
      </c>
      <c r="Q35" s="7">
        <f>SUM('Model inputs'!Q36,'Model inputs'!Q37)</f>
        <v>36</v>
      </c>
      <c r="R35" s="7">
        <f>SUM('Model inputs'!R36,'Model inputs'!R37)</f>
        <v>38</v>
      </c>
      <c r="S35" s="7">
        <f>SUM('Model inputs'!S36,'Model inputs'!S37)</f>
        <v>41</v>
      </c>
      <c r="T35" s="7">
        <f>SUM('Model inputs'!T36,'Model inputs'!T37)</f>
        <v>44</v>
      </c>
      <c r="U35" s="7">
        <f>SUM('Model inputs'!U36,'Model inputs'!U37)</f>
        <v>46</v>
      </c>
      <c r="V35" s="7">
        <f>SUM('Model inputs'!V36,'Model inputs'!V37)</f>
        <v>49</v>
      </c>
      <c r="W35" s="7">
        <f>SUM('Model inputs'!W36,'Model inputs'!W37)</f>
        <v>52</v>
      </c>
      <c r="X35" s="7">
        <f>SUM('Model inputs'!X36,'Model inputs'!X37)</f>
        <v>55</v>
      </c>
      <c r="Y35" s="7">
        <f>SUM('Model inputs'!Y36,'Model inputs'!Y37)</f>
        <v>57</v>
      </c>
      <c r="Z35" s="7">
        <f>SUM('Model inputs'!Z36,'Model inputs'!Z37)</f>
        <v>60</v>
      </c>
    </row>
    <row r="36" outlineLevel="1">
      <c r="A36" t="inlineStr" s="20">
        <is>
          <t xml:space="preserve">Active fleets &gt; 30-van fleets</t>
        </is>
      </c>
      <c r="C36" s="9">
        <f>IF(EXACT("30-van fleets","80-van fleets"),IF('Fleet growth and revenue'!B7="","",'Fleet growth and revenue'!B7),'Model inputs'!C6-'Fleet growth and revenue'!B7)</f>
        <v>0</v>
      </c>
      <c r="D36" s="9">
        <f>IF(EXACT("30-van fleets","80-van fleets"),IF('Fleet growth and revenue'!C7="","",'Fleet growth and revenue'!C7),'Model inputs'!D6-'Fleet growth and revenue'!C7)</f>
        <v>0</v>
      </c>
      <c r="E36" s="9">
        <f>IF(EXACT("30-van fleets","80-van fleets"),IF('Fleet growth and revenue'!D7="","",'Fleet growth and revenue'!D7),'Model inputs'!E6-'Fleet growth and revenue'!D7)</f>
        <v>3</v>
      </c>
      <c r="F36" s="9">
        <f>IF(EXACT("30-van fleets","80-van fleets"),IF('Fleet growth and revenue'!E7="","",'Fleet growth and revenue'!E7),'Model inputs'!F6-'Fleet growth and revenue'!E7)</f>
        <v>6</v>
      </c>
      <c r="G36" s="9">
        <f>IF(EXACT("30-van fleets","80-van fleets"),IF('Fleet growth and revenue'!F7="","",'Fleet growth and revenue'!F7),'Model inputs'!G6-'Fleet growth and revenue'!F7)</f>
        <v>8</v>
      </c>
      <c r="H36" s="9">
        <f>IF(EXACT("30-van fleets","80-van fleets"),IF('Fleet growth and revenue'!G7="","",'Fleet growth and revenue'!G7),'Model inputs'!H6-'Fleet growth and revenue'!G7)</f>
        <v>9</v>
      </c>
      <c r="I36" s="9">
        <f>IF(EXACT("30-van fleets","80-van fleets"),IF('Fleet growth and revenue'!H7="","",'Fleet growth and revenue'!H7),'Model inputs'!I6-'Fleet growth and revenue'!H7)</f>
        <v>12</v>
      </c>
      <c r="J36" s="9">
        <f>IF(EXACT("30-van fleets","80-van fleets"),IF('Fleet growth and revenue'!I7="","",'Fleet growth and revenue'!I7),'Model inputs'!J6-'Fleet growth and revenue'!I7)</f>
        <v>14</v>
      </c>
      <c r="K36" s="9">
        <f>IF(EXACT("30-van fleets","80-van fleets"),IF('Fleet growth and revenue'!J7="","",'Fleet growth and revenue'!J7),'Model inputs'!K6-'Fleet growth and revenue'!J7)</f>
        <v>16</v>
      </c>
      <c r="L36" s="9">
        <f>IF(EXACT("30-van fleets","80-van fleets"),IF('Fleet growth and revenue'!K7="","",'Fleet growth and revenue'!K7),'Model inputs'!L6-'Fleet growth and revenue'!K7)</f>
        <v>18</v>
      </c>
      <c r="M36" s="9">
        <f>IF(EXACT("30-van fleets","80-van fleets"),IF('Fleet growth and revenue'!L7="","",'Fleet growth and revenue'!L7),'Model inputs'!M6-'Fleet growth and revenue'!L7)</f>
        <v>21</v>
      </c>
      <c r="N36" s="9">
        <f>IF(EXACT("30-van fleets","80-van fleets"),IF('Fleet growth and revenue'!M7="","",'Fleet growth and revenue'!M7),'Model inputs'!N6-'Fleet growth and revenue'!M7)</f>
        <v>22</v>
      </c>
      <c r="O36" s="9">
        <f>IF(EXACT("30-van fleets","80-van fleets"),IF('Fleet growth and revenue'!N7="","",'Fleet growth and revenue'!N7),'Model inputs'!O6-'Fleet growth and revenue'!N7)</f>
        <v>25</v>
      </c>
      <c r="P36" s="9">
        <f>IF(EXACT("30-van fleets","80-van fleets"),IF('Fleet growth and revenue'!O7="","",'Fleet growth and revenue'!O7),'Model inputs'!P6-'Fleet growth and revenue'!O7)</f>
        <v>27</v>
      </c>
      <c r="Q36" s="9">
        <f>IF(EXACT("30-van fleets","80-van fleets"),IF('Fleet growth and revenue'!P7="","",'Fleet growth and revenue'!P7),'Model inputs'!Q6-'Fleet growth and revenue'!P7)</f>
        <v>29</v>
      </c>
      <c r="R36" s="9">
        <f>IF(EXACT("30-van fleets","80-van fleets"),IF('Fleet growth and revenue'!Q7="","",'Fleet growth and revenue'!Q7),'Model inputs'!R6-'Fleet growth and revenue'!Q7)</f>
        <v>31</v>
      </c>
      <c r="S36" s="9">
        <f>IF(EXACT("30-van fleets","80-van fleets"),IF('Fleet growth and revenue'!R7="","",'Fleet growth and revenue'!R7),'Model inputs'!S6-'Fleet growth and revenue'!R7)</f>
        <v>33</v>
      </c>
      <c r="T36" s="9">
        <f>IF(EXACT("30-van fleets","80-van fleets"),IF('Fleet growth and revenue'!S7="","",'Fleet growth and revenue'!S7),'Model inputs'!T6-'Fleet growth and revenue'!S7)</f>
        <v>36</v>
      </c>
      <c r="U36" s="9">
        <f>IF(EXACT("30-van fleets","80-van fleets"),IF('Fleet growth and revenue'!T7="","",'Fleet growth and revenue'!T7),'Model inputs'!U6-'Fleet growth and revenue'!T7)</f>
        <v>37</v>
      </c>
      <c r="V36" s="9">
        <f>IF(EXACT("30-van fleets","80-van fleets"),IF('Fleet growth and revenue'!U7="","",'Fleet growth and revenue'!U7),'Model inputs'!V6-'Fleet growth and revenue'!U7)</f>
        <v>40</v>
      </c>
      <c r="W36" s="9">
        <f>IF(EXACT("30-van fleets","80-van fleets"),IF('Fleet growth and revenue'!V7="","",'Fleet growth and revenue'!V7),'Model inputs'!W6-'Fleet growth and revenue'!V7)</f>
        <v>42</v>
      </c>
      <c r="X36" s="9">
        <f>IF(EXACT("30-van fleets","80-van fleets"),IF('Fleet growth and revenue'!W7="","",'Fleet growth and revenue'!W7),'Model inputs'!X6-'Fleet growth and revenue'!W7)</f>
        <v>45</v>
      </c>
      <c r="Y36" s="9">
        <f>IF(EXACT("30-van fleets","80-van fleets"),IF('Fleet growth and revenue'!X7="","",'Fleet growth and revenue'!X7),'Model inputs'!Y6-'Fleet growth and revenue'!X7)</f>
        <v>46</v>
      </c>
      <c r="Z36" s="9">
        <f>IF(EXACT("30-van fleets","80-van fleets"),IF('Fleet growth and revenue'!Y7="","",'Fleet growth and revenue'!Y7),'Model inputs'!Z6-'Fleet growth and revenue'!Y7)</f>
        <v>49</v>
      </c>
    </row>
    <row r="37" outlineLevel="1">
      <c r="A37" t="inlineStr" s="20">
        <is>
          <t xml:space="preserve">Active fleets &gt; 80-van fleets</t>
        </is>
      </c>
      <c r="C37" s="9">
        <f>IF(EXACT("80-van fleets","80-van fleets"),IF('Fleet growth and revenue'!B7="","",'Fleet growth and revenue'!B7),'Model inputs'!C6-'Fleet growth and revenue'!B7)</f>
        <v>0</v>
      </c>
      <c r="D37" s="9">
        <f>IF(EXACT("80-van fleets","80-van fleets"),IF('Fleet growth and revenue'!C7="","",'Fleet growth and revenue'!C7),'Model inputs'!D6-'Fleet growth and revenue'!C7)</f>
        <v>0</v>
      </c>
      <c r="E37" s="9">
        <f>IF(EXACT("80-van fleets","80-van fleets"),IF('Fleet growth and revenue'!D7="","",'Fleet growth and revenue'!D7),'Model inputs'!E6-'Fleet growth and revenue'!D7)</f>
        <v>0</v>
      </c>
      <c r="F37" s="9">
        <f>IF(EXACT("80-van fleets","80-van fleets"),IF('Fleet growth and revenue'!E7="","",'Fleet growth and revenue'!E7),'Model inputs'!F6-'Fleet growth and revenue'!E7)</f>
        <v>0</v>
      </c>
      <c r="G37" s="9">
        <f>IF(EXACT("80-van fleets","80-van fleets"),IF('Fleet growth and revenue'!F7="","",'Fleet growth and revenue'!F7),'Model inputs'!G6-'Fleet growth and revenue'!F7)</f>
        <v>0</v>
      </c>
      <c r="H37" s="9">
        <f>IF(EXACT("80-van fleets","80-van fleets"),IF('Fleet growth and revenue'!G7="","",'Fleet growth and revenue'!G7),'Model inputs'!H6-'Fleet growth and revenue'!G7)</f>
        <v>2</v>
      </c>
      <c r="I37" s="9">
        <f>IF(EXACT("80-van fleets","80-van fleets"),IF('Fleet growth and revenue'!H7="","",'Fleet growth and revenue'!H7),'Model inputs'!I6-'Fleet growth and revenue'!H7)</f>
        <v>2</v>
      </c>
      <c r="J37" s="9">
        <f>IF(EXACT("80-van fleets","80-van fleets"),IF('Fleet growth and revenue'!I7="","",'Fleet growth and revenue'!I7),'Model inputs'!J6-'Fleet growth and revenue'!I7)</f>
        <v>3</v>
      </c>
      <c r="K37" s="9">
        <f>IF(EXACT("80-van fleets","80-van fleets"),IF('Fleet growth and revenue'!J7="","",'Fleet growth and revenue'!J7),'Model inputs'!K6-'Fleet growth and revenue'!J7)</f>
        <v>3</v>
      </c>
      <c r="L37" s="9">
        <f>IF(EXACT("80-van fleets","80-van fleets"),IF('Fleet growth and revenue'!K7="","",'Fleet growth and revenue'!K7),'Model inputs'!L6-'Fleet growth and revenue'!K7)</f>
        <v>4</v>
      </c>
      <c r="M37" s="9">
        <f>IF(EXACT("80-van fleets","80-van fleets"),IF('Fleet growth and revenue'!L7="","",'Fleet growth and revenue'!L7),'Model inputs'!M6-'Fleet growth and revenue'!L7)</f>
        <v>4</v>
      </c>
      <c r="N37" s="9">
        <f>IF(EXACT("80-van fleets","80-van fleets"),IF('Fleet growth and revenue'!M7="","",'Fleet growth and revenue'!M7),'Model inputs'!N6-'Fleet growth and revenue'!M7)</f>
        <v>5</v>
      </c>
      <c r="O37" s="9">
        <f>IF(EXACT("80-van fleets","80-van fleets"),IF('Fleet growth and revenue'!N7="","",'Fleet growth and revenue'!N7),'Model inputs'!O6-'Fleet growth and revenue'!N7)</f>
        <v>5</v>
      </c>
      <c r="P37" s="9">
        <f>IF(EXACT("80-van fleets","80-van fleets"),IF('Fleet growth and revenue'!O7="","",'Fleet growth and revenue'!O7),'Model inputs'!P6-'Fleet growth and revenue'!O7)</f>
        <v>6</v>
      </c>
      <c r="Q37" s="9">
        <f>IF(EXACT("80-van fleets","80-van fleets"),IF('Fleet growth and revenue'!P7="","",'Fleet growth and revenue'!P7),'Model inputs'!Q6-'Fleet growth and revenue'!P7)</f>
        <v>7</v>
      </c>
      <c r="R37" s="9">
        <f>IF(EXACT("80-van fleets","80-van fleets"),IF('Fleet growth and revenue'!Q7="","",'Fleet growth and revenue'!Q7),'Model inputs'!R6-'Fleet growth and revenue'!Q7)</f>
        <v>7</v>
      </c>
      <c r="S37" s="9">
        <f>IF(EXACT("80-van fleets","80-van fleets"),IF('Fleet growth and revenue'!R7="","",'Fleet growth and revenue'!R7),'Model inputs'!S6-'Fleet growth and revenue'!R7)</f>
        <v>8</v>
      </c>
      <c r="T37" s="9">
        <f>IF(EXACT("80-van fleets","80-van fleets"),IF('Fleet growth and revenue'!S7="","",'Fleet growth and revenue'!S7),'Model inputs'!T6-'Fleet growth and revenue'!S7)</f>
        <v>8</v>
      </c>
      <c r="U37" s="9">
        <f>IF(EXACT("80-van fleets","80-van fleets"),IF('Fleet growth and revenue'!T7="","",'Fleet growth and revenue'!T7),'Model inputs'!U6-'Fleet growth and revenue'!T7)</f>
        <v>9</v>
      </c>
      <c r="V37" s="9">
        <f>IF(EXACT("80-van fleets","80-van fleets"),IF('Fleet growth and revenue'!U7="","",'Fleet growth and revenue'!U7),'Model inputs'!V6-'Fleet growth and revenue'!U7)</f>
        <v>9</v>
      </c>
      <c r="W37" s="9">
        <f>IF(EXACT("80-van fleets","80-van fleets"),IF('Fleet growth and revenue'!V7="","",'Fleet growth and revenue'!V7),'Model inputs'!W6-'Fleet growth and revenue'!V7)</f>
        <v>10</v>
      </c>
      <c r="X37" s="9">
        <f>IF(EXACT("80-van fleets","80-van fleets"),IF('Fleet growth and revenue'!W7="","",'Fleet growth and revenue'!W7),'Model inputs'!X6-'Fleet growth and revenue'!W7)</f>
        <v>10</v>
      </c>
      <c r="Y37" s="9">
        <f>IF(EXACT("80-van fleets","80-van fleets"),IF('Fleet growth and revenue'!X7="","",'Fleet growth and revenue'!X7),'Model inputs'!Y6-'Fleet growth and revenue'!X7)</f>
        <v>11</v>
      </c>
      <c r="Z37" s="9">
        <f>IF(EXACT("80-van fleets","80-van fleets"),IF('Fleet growth and revenue'!Y7="","",'Fleet growth and revenue'!Y7),'Model inputs'!Z6-'Fleet growth and revenue'!Y7)</f>
        <v>11</v>
      </c>
    </row>
    <row r="38">
      <c r="A38" t="inlineStr" s="18">
        <is>
          <t xml:space="preserve">Gross monthly billing</t>
        </is>
      </c>
      <c r="C38" s="11">
        <f>SUM('Model inputs'!C39,'Model inputs'!C40)</f>
        <v>0</v>
      </c>
      <c r="D38" s="11">
        <f>SUM('Model inputs'!D39,'Model inputs'!D40)</f>
        <v>0</v>
      </c>
      <c r="E38" s="11">
        <f>SUM('Model inputs'!E39,'Model inputs'!E40)</f>
        <v>4410</v>
      </c>
      <c r="F38" s="11">
        <f>SUM('Model inputs'!F39,'Model inputs'!F40)</f>
        <v>8820</v>
      </c>
      <c r="G38" s="11">
        <f>SUM('Model inputs'!G39,'Model inputs'!G40)</f>
        <v>11760</v>
      </c>
      <c r="H38" s="11">
        <f>SUM('Model inputs'!H39,'Model inputs'!H40)</f>
        <v>22070</v>
      </c>
      <c r="I38" s="11">
        <f>SUM('Model inputs'!I39,'Model inputs'!I40)</f>
        <v>26480</v>
      </c>
      <c r="J38" s="11">
        <f>SUM('Model inputs'!J39,'Model inputs'!J40)</f>
        <v>33840</v>
      </c>
      <c r="K38" s="11">
        <f>SUM('Model inputs'!K39,'Model inputs'!K40)</f>
        <v>36780</v>
      </c>
      <c r="L38" s="11">
        <f>SUM('Model inputs'!L39,'Model inputs'!L40)</f>
        <v>44140</v>
      </c>
      <c r="M38" s="11">
        <f>SUM('Model inputs'!M39,'Model inputs'!M40)</f>
        <v>48550</v>
      </c>
      <c r="N38" s="11">
        <f>SUM('Model inputs'!N39,'Model inputs'!N40)</f>
        <v>54440</v>
      </c>
      <c r="O38" s="11">
        <f>SUM('Model inputs'!O39,'Model inputs'!O40)</f>
        <v>58850</v>
      </c>
      <c r="P38" s="11">
        <f>SUM('Model inputs'!P39,'Model inputs'!P40)</f>
        <v>66210</v>
      </c>
      <c r="Q38" s="11">
        <f>SUM('Model inputs'!Q39,'Model inputs'!Q40)</f>
        <v>73570</v>
      </c>
      <c r="R38" s="11">
        <f>SUM('Model inputs'!R39,'Model inputs'!R40)</f>
        <v>76510</v>
      </c>
      <c r="S38" s="11">
        <f>SUM('Model inputs'!S39,'Model inputs'!S40)</f>
        <v>83870</v>
      </c>
      <c r="T38" s="11">
        <f>SUM('Model inputs'!T39,'Model inputs'!T40)</f>
        <v>88280</v>
      </c>
      <c r="U38" s="11">
        <f>SUM('Model inputs'!U39,'Model inputs'!U40)</f>
        <v>94170</v>
      </c>
      <c r="V38" s="11">
        <f>SUM('Model inputs'!V39,'Model inputs'!V40)</f>
        <v>98580</v>
      </c>
      <c r="W38" s="11">
        <f>SUM('Model inputs'!W39,'Model inputs'!W40)</f>
        <v>105940</v>
      </c>
      <c r="X38" s="11">
        <f>SUM('Model inputs'!X39,'Model inputs'!X40)</f>
        <v>110350</v>
      </c>
      <c r="Y38" s="11">
        <f>SUM('Model inputs'!Y39,'Model inputs'!Y40)</f>
        <v>116240</v>
      </c>
      <c r="Z38" s="11">
        <f>SUM('Model inputs'!Z39,'Model inputs'!Z40)</f>
        <v>120650</v>
      </c>
    </row>
    <row r="39" outlineLevel="1">
      <c r="A39" t="inlineStr" s="20">
        <is>
          <t xml:space="preserve">Gross monthly billing &gt; 30-van fleets</t>
        </is>
      </c>
      <c r="C39" s="12">
        <f>'Model inputs'!C42+'Model inputs'!C45</f>
        <v>0</v>
      </c>
      <c r="D39" s="12">
        <f>'Model inputs'!D42+'Model inputs'!D45</f>
        <v>0</v>
      </c>
      <c r="E39" s="12">
        <f>'Model inputs'!E42+'Model inputs'!E45</f>
        <v>4410</v>
      </c>
      <c r="F39" s="12">
        <f>'Model inputs'!F42+'Model inputs'!F45</f>
        <v>8820</v>
      </c>
      <c r="G39" s="12">
        <f>'Model inputs'!G42+'Model inputs'!G45</f>
        <v>11760</v>
      </c>
      <c r="H39" s="12">
        <f>'Model inputs'!H42+'Model inputs'!H45</f>
        <v>13230</v>
      </c>
      <c r="I39" s="12">
        <f>'Model inputs'!I42+'Model inputs'!I45</f>
        <v>17640</v>
      </c>
      <c r="J39" s="12">
        <f>'Model inputs'!J42+'Model inputs'!J45</f>
        <v>20580</v>
      </c>
      <c r="K39" s="12">
        <f>'Model inputs'!K42+'Model inputs'!K45</f>
        <v>23520</v>
      </c>
      <c r="L39" s="12">
        <f>'Model inputs'!L42+'Model inputs'!L45</f>
        <v>26460</v>
      </c>
      <c r="M39" s="12">
        <f>'Model inputs'!M42+'Model inputs'!M45</f>
        <v>30870</v>
      </c>
      <c r="N39" s="12">
        <f>'Model inputs'!N42+'Model inputs'!N45</f>
        <v>32340</v>
      </c>
      <c r="O39" s="12">
        <f>'Model inputs'!O42+'Model inputs'!O45</f>
        <v>36750</v>
      </c>
      <c r="P39" s="12">
        <f>'Model inputs'!P42+'Model inputs'!P45</f>
        <v>39690</v>
      </c>
      <c r="Q39" s="12">
        <f>'Model inputs'!Q42+'Model inputs'!Q45</f>
        <v>42630</v>
      </c>
      <c r="R39" s="12">
        <f>'Model inputs'!R42+'Model inputs'!R45</f>
        <v>45570</v>
      </c>
      <c r="S39" s="12">
        <f>'Model inputs'!S42+'Model inputs'!S45</f>
        <v>48510</v>
      </c>
      <c r="T39" s="12">
        <f>'Model inputs'!T42+'Model inputs'!T45</f>
        <v>52920</v>
      </c>
      <c r="U39" s="12">
        <f>'Model inputs'!U42+'Model inputs'!U45</f>
        <v>54390</v>
      </c>
      <c r="V39" s="12">
        <f>'Model inputs'!V42+'Model inputs'!V45</f>
        <v>58800</v>
      </c>
      <c r="W39" s="12">
        <f>'Model inputs'!W42+'Model inputs'!W45</f>
        <v>61740</v>
      </c>
      <c r="X39" s="12">
        <f>'Model inputs'!X42+'Model inputs'!X45</f>
        <v>66150</v>
      </c>
      <c r="Y39" s="12">
        <f>'Model inputs'!Y42+'Model inputs'!Y45</f>
        <v>67620</v>
      </c>
      <c r="Z39" s="12">
        <f>'Model inputs'!Z42+'Model inputs'!Z45</f>
        <v>72030</v>
      </c>
    </row>
    <row r="40" outlineLevel="1">
      <c r="A40" t="inlineStr" s="20">
        <is>
          <t xml:space="preserve">Gross monthly billing &gt; 80-van fleets</t>
        </is>
      </c>
      <c r="C40" s="12">
        <f>'Model inputs'!C43+'Model inputs'!C46</f>
        <v>0</v>
      </c>
      <c r="D40" s="12">
        <f>'Model inputs'!D43+'Model inputs'!D46</f>
        <v>0</v>
      </c>
      <c r="E40" s="12">
        <f>'Model inputs'!E43+'Model inputs'!E46</f>
        <v>0</v>
      </c>
      <c r="F40" s="12">
        <f>'Model inputs'!F43+'Model inputs'!F46</f>
        <v>0</v>
      </c>
      <c r="G40" s="12">
        <f>'Model inputs'!G43+'Model inputs'!G46</f>
        <v>0</v>
      </c>
      <c r="H40" s="12">
        <f>'Model inputs'!H43+'Model inputs'!H46</f>
        <v>8840</v>
      </c>
      <c r="I40" s="12">
        <f>'Model inputs'!I43+'Model inputs'!I46</f>
        <v>8840</v>
      </c>
      <c r="J40" s="12">
        <f>'Model inputs'!J43+'Model inputs'!J46</f>
        <v>13260</v>
      </c>
      <c r="K40" s="12">
        <f>'Model inputs'!K43+'Model inputs'!K46</f>
        <v>13260</v>
      </c>
      <c r="L40" s="12">
        <f>'Model inputs'!L43+'Model inputs'!L46</f>
        <v>17680</v>
      </c>
      <c r="M40" s="12">
        <f>'Model inputs'!M43+'Model inputs'!M46</f>
        <v>17680</v>
      </c>
      <c r="N40" s="12">
        <f>'Model inputs'!N43+'Model inputs'!N46</f>
        <v>22100</v>
      </c>
      <c r="O40" s="12">
        <f>'Model inputs'!O43+'Model inputs'!O46</f>
        <v>22100</v>
      </c>
      <c r="P40" s="12">
        <f>'Model inputs'!P43+'Model inputs'!P46</f>
        <v>26520</v>
      </c>
      <c r="Q40" s="12">
        <f>'Model inputs'!Q43+'Model inputs'!Q46</f>
        <v>30940</v>
      </c>
      <c r="R40" s="12">
        <f>'Model inputs'!R43+'Model inputs'!R46</f>
        <v>30940</v>
      </c>
      <c r="S40" s="12">
        <f>'Model inputs'!S43+'Model inputs'!S46</f>
        <v>35360</v>
      </c>
      <c r="T40" s="12">
        <f>'Model inputs'!T43+'Model inputs'!T46</f>
        <v>35360</v>
      </c>
      <c r="U40" s="12">
        <f>'Model inputs'!U43+'Model inputs'!U46</f>
        <v>39780</v>
      </c>
      <c r="V40" s="12">
        <f>'Model inputs'!V43+'Model inputs'!V46</f>
        <v>39780</v>
      </c>
      <c r="W40" s="12">
        <f>'Model inputs'!W43+'Model inputs'!W46</f>
        <v>44200</v>
      </c>
      <c r="X40" s="12">
        <f>'Model inputs'!X43+'Model inputs'!X46</f>
        <v>44200</v>
      </c>
      <c r="Y40" s="12">
        <f>'Model inputs'!Y43+'Model inputs'!Y46</f>
        <v>48620</v>
      </c>
      <c r="Z40" s="12">
        <f>'Model inputs'!Z43+'Model inputs'!Z46</f>
        <v>48620</v>
      </c>
    </row>
    <row r="41">
      <c r="A41" t="inlineStr" s="18">
        <is>
          <t xml:space="preserve">Van subscription revenue</t>
        </is>
      </c>
      <c r="C41" s="11">
        <f>SUM('Model inputs'!C42,'Model inputs'!C43)</f>
        <v>0</v>
      </c>
      <c r="D41" s="11">
        <f>SUM('Model inputs'!D42,'Model inputs'!D43)</f>
        <v>0</v>
      </c>
      <c r="E41" s="11">
        <f>SUM('Model inputs'!E42,'Model inputs'!E43)</f>
        <v>4410</v>
      </c>
      <c r="F41" s="11">
        <f>SUM('Model inputs'!F42,'Model inputs'!F43)</f>
        <v>8820</v>
      </c>
      <c r="G41" s="11">
        <f>SUM('Model inputs'!G42,'Model inputs'!G43)</f>
        <v>11760</v>
      </c>
      <c r="H41" s="11">
        <f>SUM('Model inputs'!H42,'Model inputs'!H43)</f>
        <v>21070</v>
      </c>
      <c r="I41" s="11">
        <f>SUM('Model inputs'!I42,'Model inputs'!I43)</f>
        <v>25480</v>
      </c>
      <c r="J41" s="11">
        <f>SUM('Model inputs'!J42,'Model inputs'!J43)</f>
        <v>32340</v>
      </c>
      <c r="K41" s="11">
        <f>SUM('Model inputs'!K42,'Model inputs'!K43)</f>
        <v>35280</v>
      </c>
      <c r="L41" s="11">
        <f>SUM('Model inputs'!L42,'Model inputs'!L43)</f>
        <v>42140</v>
      </c>
      <c r="M41" s="11">
        <f>SUM('Model inputs'!M42,'Model inputs'!M43)</f>
        <v>46550</v>
      </c>
      <c r="N41" s="11">
        <f>SUM('Model inputs'!N42,'Model inputs'!N43)</f>
        <v>51940</v>
      </c>
      <c r="O41" s="11">
        <f>SUM('Model inputs'!O42,'Model inputs'!O43)</f>
        <v>56350</v>
      </c>
      <c r="P41" s="11">
        <f>SUM('Model inputs'!P42,'Model inputs'!P43)</f>
        <v>63210</v>
      </c>
      <c r="Q41" s="11">
        <f>SUM('Model inputs'!Q42,'Model inputs'!Q43)</f>
        <v>70070</v>
      </c>
      <c r="R41" s="11">
        <f>SUM('Model inputs'!R42,'Model inputs'!R43)</f>
        <v>73010</v>
      </c>
      <c r="S41" s="11">
        <f>SUM('Model inputs'!S42,'Model inputs'!S43)</f>
        <v>79870</v>
      </c>
      <c r="T41" s="11">
        <f>SUM('Model inputs'!T42,'Model inputs'!T43)</f>
        <v>84280</v>
      </c>
      <c r="U41" s="11">
        <f>SUM('Model inputs'!U42,'Model inputs'!U43)</f>
        <v>89670</v>
      </c>
      <c r="V41" s="11">
        <f>SUM('Model inputs'!V42,'Model inputs'!V43)</f>
        <v>94080</v>
      </c>
      <c r="W41" s="11">
        <f>SUM('Model inputs'!W42,'Model inputs'!W43)</f>
        <v>100940</v>
      </c>
      <c r="X41" s="11">
        <f>SUM('Model inputs'!X42,'Model inputs'!X43)</f>
        <v>105350</v>
      </c>
      <c r="Y41" s="11">
        <f>SUM('Model inputs'!Y42,'Model inputs'!Y43)</f>
        <v>110740</v>
      </c>
      <c r="Z41" s="11">
        <f>SUM('Model inputs'!Z42,'Model inputs'!Z43)</f>
        <v>115150</v>
      </c>
    </row>
    <row r="42" outlineLevel="1">
      <c r="A42" t="inlineStr" s="20">
        <is>
          <t xml:space="preserve">Van subscription revenue &gt; 30-van fleets</t>
        </is>
      </c>
      <c r="C42" s="12">
        <f>'Model inputs'!C48*'Model inputs'!AA28</f>
        <v>0</v>
      </c>
      <c r="D42" s="12">
        <f>'Model inputs'!D48*'Model inputs'!AA28</f>
        <v>0</v>
      </c>
      <c r="E42" s="12">
        <f>'Model inputs'!E48*'Model inputs'!AA28</f>
        <v>4410</v>
      </c>
      <c r="F42" s="12">
        <f>'Model inputs'!F48*'Model inputs'!AA28</f>
        <v>8820</v>
      </c>
      <c r="G42" s="12">
        <f>'Model inputs'!G48*'Model inputs'!AA28</f>
        <v>11760</v>
      </c>
      <c r="H42" s="12">
        <f>'Model inputs'!H48*'Model inputs'!AA28</f>
        <v>13230</v>
      </c>
      <c r="I42" s="12">
        <f>'Model inputs'!I48*'Model inputs'!AA28</f>
        <v>17640</v>
      </c>
      <c r="J42" s="12">
        <f>'Model inputs'!J48*'Model inputs'!AA28</f>
        <v>20580</v>
      </c>
      <c r="K42" s="12">
        <f>'Model inputs'!K48*'Model inputs'!AA28</f>
        <v>23520</v>
      </c>
      <c r="L42" s="12">
        <f>'Model inputs'!L48*'Model inputs'!AA28</f>
        <v>26460</v>
      </c>
      <c r="M42" s="12">
        <f>'Model inputs'!M48*'Model inputs'!AA28</f>
        <v>30870</v>
      </c>
      <c r="N42" s="12">
        <f>'Model inputs'!N48*'Model inputs'!AA28</f>
        <v>32340</v>
      </c>
      <c r="O42" s="12">
        <f>'Model inputs'!O48*'Model inputs'!AA28</f>
        <v>36750</v>
      </c>
      <c r="P42" s="12">
        <f>'Model inputs'!P48*'Model inputs'!AA28</f>
        <v>39690</v>
      </c>
      <c r="Q42" s="12">
        <f>'Model inputs'!Q48*'Model inputs'!AA28</f>
        <v>42630</v>
      </c>
      <c r="R42" s="12">
        <f>'Model inputs'!R48*'Model inputs'!AA28</f>
        <v>45570</v>
      </c>
      <c r="S42" s="12">
        <f>'Model inputs'!S48*'Model inputs'!AA28</f>
        <v>48510</v>
      </c>
      <c r="T42" s="12">
        <f>'Model inputs'!T48*'Model inputs'!AA28</f>
        <v>52920</v>
      </c>
      <c r="U42" s="12">
        <f>'Model inputs'!U48*'Model inputs'!AA28</f>
        <v>54390</v>
      </c>
      <c r="V42" s="12">
        <f>'Model inputs'!V48*'Model inputs'!AA28</f>
        <v>58800</v>
      </c>
      <c r="W42" s="12">
        <f>'Model inputs'!W48*'Model inputs'!AA28</f>
        <v>61740</v>
      </c>
      <c r="X42" s="12">
        <f>'Model inputs'!X48*'Model inputs'!AA28</f>
        <v>66150</v>
      </c>
      <c r="Y42" s="12">
        <f>'Model inputs'!Y48*'Model inputs'!AA28</f>
        <v>67620</v>
      </c>
      <c r="Z42" s="12">
        <f>'Model inputs'!Z48*'Model inputs'!AA28</f>
        <v>72030</v>
      </c>
    </row>
    <row r="43" outlineLevel="1">
      <c r="A43" t="inlineStr" s="20">
        <is>
          <t xml:space="preserve">Van subscription revenue &gt; 80-van fleets</t>
        </is>
      </c>
      <c r="C43" s="12">
        <f>'Model inputs'!C49*'Model inputs'!AA28</f>
        <v>0</v>
      </c>
      <c r="D43" s="12">
        <f>'Model inputs'!D49*'Model inputs'!AA28</f>
        <v>0</v>
      </c>
      <c r="E43" s="12">
        <f>'Model inputs'!E49*'Model inputs'!AA28</f>
        <v>0</v>
      </c>
      <c r="F43" s="12">
        <f>'Model inputs'!F49*'Model inputs'!AA28</f>
        <v>0</v>
      </c>
      <c r="G43" s="12">
        <f>'Model inputs'!G49*'Model inputs'!AA28</f>
        <v>0</v>
      </c>
      <c r="H43" s="12">
        <f>'Model inputs'!H49*'Model inputs'!AA28</f>
        <v>7840</v>
      </c>
      <c r="I43" s="12">
        <f>'Model inputs'!I49*'Model inputs'!AA28</f>
        <v>7840</v>
      </c>
      <c r="J43" s="12">
        <f>'Model inputs'!J49*'Model inputs'!AA28</f>
        <v>11760</v>
      </c>
      <c r="K43" s="12">
        <f>'Model inputs'!K49*'Model inputs'!AA28</f>
        <v>11760</v>
      </c>
      <c r="L43" s="12">
        <f>'Model inputs'!L49*'Model inputs'!AA28</f>
        <v>15680</v>
      </c>
      <c r="M43" s="12">
        <f>'Model inputs'!M49*'Model inputs'!AA28</f>
        <v>15680</v>
      </c>
      <c r="N43" s="12">
        <f>'Model inputs'!N49*'Model inputs'!AA28</f>
        <v>19600</v>
      </c>
      <c r="O43" s="12">
        <f>'Model inputs'!O49*'Model inputs'!AA28</f>
        <v>19600</v>
      </c>
      <c r="P43" s="12">
        <f>'Model inputs'!P49*'Model inputs'!AA28</f>
        <v>23520</v>
      </c>
      <c r="Q43" s="12">
        <f>'Model inputs'!Q49*'Model inputs'!AA28</f>
        <v>27440</v>
      </c>
      <c r="R43" s="12">
        <f>'Model inputs'!R49*'Model inputs'!AA28</f>
        <v>27440</v>
      </c>
      <c r="S43" s="12">
        <f>'Model inputs'!S49*'Model inputs'!AA28</f>
        <v>31360</v>
      </c>
      <c r="T43" s="12">
        <f>'Model inputs'!T49*'Model inputs'!AA28</f>
        <v>31360</v>
      </c>
      <c r="U43" s="12">
        <f>'Model inputs'!U49*'Model inputs'!AA28</f>
        <v>35280</v>
      </c>
      <c r="V43" s="12">
        <f>'Model inputs'!V49*'Model inputs'!AA28</f>
        <v>35280</v>
      </c>
      <c r="W43" s="12">
        <f>'Model inputs'!W49*'Model inputs'!AA28</f>
        <v>39200</v>
      </c>
      <c r="X43" s="12">
        <f>'Model inputs'!X49*'Model inputs'!AA28</f>
        <v>39200</v>
      </c>
      <c r="Y43" s="12">
        <f>'Model inputs'!Y49*'Model inputs'!AA28</f>
        <v>43120</v>
      </c>
      <c r="Z43" s="12">
        <f>'Model inputs'!Z49*'Model inputs'!AA28</f>
        <v>43120</v>
      </c>
    </row>
    <row r="44">
      <c r="A44" t="inlineStr" s="18">
        <is>
          <t xml:space="preserve">Platform fee revenue</t>
        </is>
      </c>
      <c r="C44" s="11">
        <f>SUM('Model inputs'!C45,'Model inputs'!C46)</f>
        <v>0</v>
      </c>
      <c r="D44" s="11">
        <f>SUM('Model inputs'!D45,'Model inputs'!D46)</f>
        <v>0</v>
      </c>
      <c r="E44" s="11">
        <f>SUM('Model inputs'!E45,'Model inputs'!E46)</f>
        <v>0</v>
      </c>
      <c r="F44" s="11">
        <f>SUM('Model inputs'!F45,'Model inputs'!F46)</f>
        <v>0</v>
      </c>
      <c r="G44" s="11">
        <f>SUM('Model inputs'!G45,'Model inputs'!G46)</f>
        <v>0</v>
      </c>
      <c r="H44" s="11">
        <f>SUM('Model inputs'!H45,'Model inputs'!H46)</f>
        <v>1000</v>
      </c>
      <c r="I44" s="11">
        <f>SUM('Model inputs'!I45,'Model inputs'!I46)</f>
        <v>1000</v>
      </c>
      <c r="J44" s="11">
        <f>SUM('Model inputs'!J45,'Model inputs'!J46)</f>
        <v>1500</v>
      </c>
      <c r="K44" s="11">
        <f>SUM('Model inputs'!K45,'Model inputs'!K46)</f>
        <v>1500</v>
      </c>
      <c r="L44" s="11">
        <f>SUM('Model inputs'!L45,'Model inputs'!L46)</f>
        <v>2000</v>
      </c>
      <c r="M44" s="11">
        <f>SUM('Model inputs'!M45,'Model inputs'!M46)</f>
        <v>2000</v>
      </c>
      <c r="N44" s="11">
        <f>SUM('Model inputs'!N45,'Model inputs'!N46)</f>
        <v>2500</v>
      </c>
      <c r="O44" s="11">
        <f>SUM('Model inputs'!O45,'Model inputs'!O46)</f>
        <v>2500</v>
      </c>
      <c r="P44" s="11">
        <f>SUM('Model inputs'!P45,'Model inputs'!P46)</f>
        <v>3000</v>
      </c>
      <c r="Q44" s="11">
        <f>SUM('Model inputs'!Q45,'Model inputs'!Q46)</f>
        <v>3500</v>
      </c>
      <c r="R44" s="11">
        <f>SUM('Model inputs'!R45,'Model inputs'!R46)</f>
        <v>3500</v>
      </c>
      <c r="S44" s="11">
        <f>SUM('Model inputs'!S45,'Model inputs'!S46)</f>
        <v>4000</v>
      </c>
      <c r="T44" s="11">
        <f>SUM('Model inputs'!T45,'Model inputs'!T46)</f>
        <v>4000</v>
      </c>
      <c r="U44" s="11">
        <f>SUM('Model inputs'!U45,'Model inputs'!U46)</f>
        <v>4500</v>
      </c>
      <c r="V44" s="11">
        <f>SUM('Model inputs'!V45,'Model inputs'!V46)</f>
        <v>4500</v>
      </c>
      <c r="W44" s="11">
        <f>SUM('Model inputs'!W45,'Model inputs'!W46)</f>
        <v>5000</v>
      </c>
      <c r="X44" s="11">
        <f>SUM('Model inputs'!X45,'Model inputs'!X46)</f>
        <v>5000</v>
      </c>
      <c r="Y44" s="11">
        <f>SUM('Model inputs'!Y45,'Model inputs'!Y46)</f>
        <v>5500</v>
      </c>
      <c r="Z44" s="11">
        <f>SUM('Model inputs'!Z45,'Model inputs'!Z46)</f>
        <v>5500</v>
      </c>
    </row>
    <row r="45" outlineLevel="1">
      <c r="A45" t="inlineStr" s="20">
        <is>
          <t xml:space="preserve">Platform fee revenue &gt; 30-van fleets</t>
        </is>
      </c>
      <c r="C45" s="12">
        <f>'Model inputs'!C36*IF(IF(IF(IF(ISERROR(IF(EXACT("30-van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D45" s="12">
        <f>'Model inputs'!D36*IF(IF(IF(IF(ISERROR(IF(EXACT("30-van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E45" s="12">
        <f>'Model inputs'!E36*IF(IF(IF(IF(ISERROR(IF(EXACT("30-van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F45" s="12">
        <f>'Model inputs'!F36*IF(IF(IF(IF(ISERROR(IF(EXACT("30-van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G45" s="12">
        <f>'Model inputs'!G36*IF(IF(IF(IF(ISERROR(IF(EXACT("30-van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H45" s="12">
        <f>'Model inputs'!H36*IF(IF(IF(IF(ISERROR(IF(EXACT("30-van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I45" s="12">
        <f>'Model inputs'!I36*IF(IF(IF(IF(ISERROR(IF(EXACT("30-van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J45" s="12">
        <f>'Model inputs'!J36*IF(IF(IF(IF(ISERROR(IF(EXACT("30-van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K45" s="12">
        <f>'Model inputs'!K36*IF(IF(IF(IF(ISERROR(IF(EXACT("30-van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L45" s="12">
        <f>'Model inputs'!L36*IF(IF(IF(IF(ISERROR(IF(EXACT("30-van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M45" s="12">
        <f>'Model inputs'!M36*IF(IF(IF(IF(ISERROR(IF(EXACT("30-van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N45" s="12">
        <f>'Model inputs'!N36*IF(IF(IF(IF(ISERROR(IF(EXACT("30-van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O45" s="12">
        <f>'Model inputs'!O36*IF(IF(IF(IF(ISERROR(IF(EXACT("30-van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P45" s="12">
        <f>'Model inputs'!P36*IF(IF(IF(IF(ISERROR(IF(EXACT("30-van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Q45" s="12">
        <f>'Model inputs'!Q36*IF(IF(IF(IF(ISERROR(IF(EXACT("30-van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R45" s="12">
        <f>'Model inputs'!R36*IF(IF(IF(IF(ISERROR(IF(EXACT("30-van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S45" s="12">
        <f>'Model inputs'!S36*IF(IF(IF(IF(ISERROR(IF(EXACT("30-van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T45" s="12">
        <f>'Model inputs'!T36*IF(IF(IF(IF(ISERROR(IF(EXACT("30-van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U45" s="12">
        <f>'Model inputs'!U36*IF(IF(IF(IF(ISERROR(IF(EXACT("30-van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V45" s="12">
        <f>'Model inputs'!V36*IF(IF(IF(IF(ISERROR(IF(EXACT("30-van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W45" s="12">
        <f>'Model inputs'!W36*IF(IF(IF(IF(ISERROR(IF(EXACT("30-van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X45" s="12">
        <f>'Model inputs'!X36*IF(IF(IF(IF(ISERROR(IF(EXACT("30-van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Y45" s="12">
        <f>'Model inputs'!Y36*IF(IF(IF(IF(ISERROR(IF(EXACT("30-van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  <c r="Z45" s="12">
        <f>'Model inputs'!Z36*IF(IF(IF(IF(ISERROR(IF(EXACT("30-van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inputs'!AA11),0)="",0,IF(IF(IF(ISERROR(IF(EXACT("30-van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inputs'!AA24))="",FALSE,IF(ISERROR(IF(EXACT("30-van fleets","80-van fleets"),IF('Model inputs'!AA14="","",'Model inputs'!AA14),IF('Model inputs'!AA27="","",'Model inputs'!AA27))&gt;'Model inputs'!AA24),IF(EXACT("30-van fleets","80-van fleets"),IF('Model inputs'!AA14="","",'Model inputs'!AA14),IF('Model inputs'!AA27="","",'Model inputs'!AA27))&gt;'Model inputs'!AA24,IF(OR(IF(EXACT("30-van fleets","80-van fleets"),IF('Model inputs'!AA14="","",'Model inputs'!AA14),IF('Model inputs'!AA27="","",'Model inputs'!AA27))="",'Model inputs'!AA24=""),"",IF(EXACT("30-van fleets","80-van fleets"),IF('Model inputs'!AA14="","",'Model inputs'!AA14),IF('Model inputs'!AA27="","",'Model inputs'!AA27))&gt;'Model inputs'!AA24))),IF('Model inputs'!AA11="","",'Model inputs'!AA11),0))</f>
        <v>0</v>
      </c>
    </row>
    <row r="46" outlineLevel="1">
      <c r="A46" t="inlineStr" s="20">
        <is>
          <t xml:space="preserve">Platform fee revenue &gt; 80-van fleets</t>
        </is>
      </c>
      <c r="C46" s="12">
        <f>'Model inputs'!C37*IF(IF(IF(IF(ISERROR(IF(EXACT("80-van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D46" s="12">
        <f>'Model inputs'!D37*IF(IF(IF(IF(ISERROR(IF(EXACT("80-van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E46" s="12">
        <f>'Model inputs'!E37*IF(IF(IF(IF(ISERROR(IF(EXACT("80-van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F46" s="12">
        <f>'Model inputs'!F37*IF(IF(IF(IF(ISERROR(IF(EXACT("80-van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G46" s="12">
        <f>'Model inputs'!G37*IF(IF(IF(IF(ISERROR(IF(EXACT("80-van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0</v>
      </c>
      <c r="H46" s="12">
        <f>'Model inputs'!H37*IF(IF(IF(IF(ISERROR(IF(EXACT("80-van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1000</v>
      </c>
      <c r="I46" s="12">
        <f>'Model inputs'!I37*IF(IF(IF(IF(ISERROR(IF(EXACT("80-van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1000</v>
      </c>
      <c r="J46" s="12">
        <f>'Model inputs'!J37*IF(IF(IF(IF(ISERROR(IF(EXACT("80-van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1500</v>
      </c>
      <c r="K46" s="12">
        <f>'Model inputs'!K37*IF(IF(IF(IF(ISERROR(IF(EXACT("80-van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1500</v>
      </c>
      <c r="L46" s="12">
        <f>'Model inputs'!L37*IF(IF(IF(IF(ISERROR(IF(EXACT("80-van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2000</v>
      </c>
      <c r="M46" s="12">
        <f>'Model inputs'!M37*IF(IF(IF(IF(ISERROR(IF(EXACT("80-van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2000</v>
      </c>
      <c r="N46" s="12">
        <f>'Model inputs'!N37*IF(IF(IF(IF(ISERROR(IF(EXACT("80-van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2500</v>
      </c>
      <c r="O46" s="12">
        <f>'Model inputs'!O37*IF(IF(IF(IF(ISERROR(IF(EXACT("80-van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2500</v>
      </c>
      <c r="P46" s="12">
        <f>'Model inputs'!P37*IF(IF(IF(IF(ISERROR(IF(EXACT("80-van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3000</v>
      </c>
      <c r="Q46" s="12">
        <f>'Model inputs'!Q37*IF(IF(IF(IF(ISERROR(IF(EXACT("80-van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3500</v>
      </c>
      <c r="R46" s="12">
        <f>'Model inputs'!R37*IF(IF(IF(IF(ISERROR(IF(EXACT("80-van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3500</v>
      </c>
      <c r="S46" s="12">
        <f>'Model inputs'!S37*IF(IF(IF(IF(ISERROR(IF(EXACT("80-van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4000</v>
      </c>
      <c r="T46" s="12">
        <f>'Model inputs'!T37*IF(IF(IF(IF(ISERROR(IF(EXACT("80-van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4000</v>
      </c>
      <c r="U46" s="12">
        <f>'Model inputs'!U37*IF(IF(IF(IF(ISERROR(IF(EXACT("80-van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4500</v>
      </c>
      <c r="V46" s="12">
        <f>'Model inputs'!V37*IF(IF(IF(IF(ISERROR(IF(EXACT("80-van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4500</v>
      </c>
      <c r="W46" s="12">
        <f>'Model inputs'!W37*IF(IF(IF(IF(ISERROR(IF(EXACT("80-van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5000</v>
      </c>
      <c r="X46" s="12">
        <f>'Model inputs'!X37*IF(IF(IF(IF(ISERROR(IF(EXACT("80-van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5000</v>
      </c>
      <c r="Y46" s="12">
        <f>'Model inputs'!Y37*IF(IF(IF(IF(ISERROR(IF(EXACT("80-van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5500</v>
      </c>
      <c r="Z46" s="12">
        <f>'Model inputs'!Z37*IF(IF(IF(IF(ISERROR(IF(EXACT("80-van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inputs'!AA11),0)="",0,IF(IF(IF(ISERROR(IF(EXACT("80-van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inputs'!AA24))="",FALSE,IF(ISERROR(IF(EXACT("80-van fleets","80-van fleets"),IF('Model inputs'!AA14="","",'Model inputs'!AA14),IF('Model inputs'!AA27="","",'Model inputs'!AA27))&gt;'Model inputs'!AA24),IF(EXACT("80-van fleets","80-van fleets"),IF('Model inputs'!AA14="","",'Model inputs'!AA14),IF('Model inputs'!AA27="","",'Model inputs'!AA27))&gt;'Model inputs'!AA24,IF(OR(IF(EXACT("80-van fleets","80-van fleets"),IF('Model inputs'!AA14="","",'Model inputs'!AA14),IF('Model inputs'!AA27="","",'Model inputs'!AA27))="",'Model inputs'!AA24=""),"",IF(EXACT("80-van fleets","80-van fleets"),IF('Model inputs'!AA14="","",'Model inputs'!AA14),IF('Model inputs'!AA27="","",'Model inputs'!AA27))&gt;'Model inputs'!AA24))),IF('Model inputs'!AA11="","",'Model inputs'!AA11),0))</f>
        <v>5500</v>
      </c>
    </row>
    <row r="47">
      <c r="A47" t="inlineStr" s="18">
        <is>
          <t xml:space="preserve">Active vans</t>
        </is>
      </c>
      <c r="C47" s="7">
        <f>SUM('Model inputs'!C48,'Model inputs'!C49)</f>
        <v>0</v>
      </c>
      <c r="D47" s="7">
        <f>SUM('Model inputs'!D48,'Model inputs'!D49)</f>
        <v>0</v>
      </c>
      <c r="E47" s="7">
        <f>SUM('Model inputs'!E48,'Model inputs'!E49)</f>
        <v>90</v>
      </c>
      <c r="F47" s="7">
        <f>SUM('Model inputs'!F48,'Model inputs'!F49)</f>
        <v>180</v>
      </c>
      <c r="G47" s="7">
        <f>SUM('Model inputs'!G48,'Model inputs'!G49)</f>
        <v>240</v>
      </c>
      <c r="H47" s="7">
        <f>SUM('Model inputs'!H48,'Model inputs'!H49)</f>
        <v>430</v>
      </c>
      <c r="I47" s="7">
        <f>SUM('Model inputs'!I48,'Model inputs'!I49)</f>
        <v>520</v>
      </c>
      <c r="J47" s="7">
        <f>SUM('Model inputs'!J48,'Model inputs'!J49)</f>
        <v>660</v>
      </c>
      <c r="K47" s="7">
        <f>SUM('Model inputs'!K48,'Model inputs'!K49)</f>
        <v>720</v>
      </c>
      <c r="L47" s="7">
        <f>SUM('Model inputs'!L48,'Model inputs'!L49)</f>
        <v>860</v>
      </c>
      <c r="M47" s="7">
        <f>SUM('Model inputs'!M48,'Model inputs'!M49)</f>
        <v>950</v>
      </c>
      <c r="N47" s="7">
        <f>SUM('Model inputs'!N48,'Model inputs'!N49)</f>
        <v>1060</v>
      </c>
      <c r="O47" s="7">
        <f>SUM('Model inputs'!O48,'Model inputs'!O49)</f>
        <v>1150</v>
      </c>
      <c r="P47" s="7">
        <f>SUM('Model inputs'!P48,'Model inputs'!P49)</f>
        <v>1290</v>
      </c>
      <c r="Q47" s="7">
        <f>SUM('Model inputs'!Q48,'Model inputs'!Q49)</f>
        <v>1430</v>
      </c>
      <c r="R47" s="7">
        <f>SUM('Model inputs'!R48,'Model inputs'!R49)</f>
        <v>1490</v>
      </c>
      <c r="S47" s="7">
        <f>SUM('Model inputs'!S48,'Model inputs'!S49)</f>
        <v>1630</v>
      </c>
      <c r="T47" s="7">
        <f>SUM('Model inputs'!T48,'Model inputs'!T49)</f>
        <v>1720</v>
      </c>
      <c r="U47" s="7">
        <f>SUM('Model inputs'!U48,'Model inputs'!U49)</f>
        <v>1830</v>
      </c>
      <c r="V47" s="7">
        <f>SUM('Model inputs'!V48,'Model inputs'!V49)</f>
        <v>1920</v>
      </c>
      <c r="W47" s="7">
        <f>SUM('Model inputs'!W48,'Model inputs'!W49)</f>
        <v>2060</v>
      </c>
      <c r="X47" s="7">
        <f>SUM('Model inputs'!X48,'Model inputs'!X49)</f>
        <v>2150</v>
      </c>
      <c r="Y47" s="7">
        <f>SUM('Model inputs'!Y48,'Model inputs'!Y49)</f>
        <v>2260</v>
      </c>
      <c r="Z47" s="7">
        <f>SUM('Model inputs'!Z48,'Model inputs'!Z49)</f>
        <v>2350</v>
      </c>
    </row>
    <row r="48" outlineLevel="1">
      <c r="A48" t="inlineStr" s="20">
        <is>
          <t xml:space="preserve">Active vans &gt; 30-van fleets</t>
        </is>
      </c>
      <c r="C48" s="9">
        <f>'Model inputs'!C36*IF(IF(EXACT("30-van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0</v>
      </c>
      <c r="D48" s="9">
        <f>'Model inputs'!D36*IF(IF(EXACT("30-van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0</v>
      </c>
      <c r="E48" s="9">
        <f>'Model inputs'!E36*IF(IF(EXACT("30-van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90</v>
      </c>
      <c r="F48" s="9">
        <f>'Model inputs'!F36*IF(IF(EXACT("30-van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180</v>
      </c>
      <c r="G48" s="9">
        <f>'Model inputs'!G36*IF(IF(EXACT("30-van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240</v>
      </c>
      <c r="H48" s="9">
        <f>'Model inputs'!H36*IF(IF(EXACT("30-van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270</v>
      </c>
      <c r="I48" s="9">
        <f>'Model inputs'!I36*IF(IF(EXACT("30-van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360</v>
      </c>
      <c r="J48" s="9">
        <f>'Model inputs'!J36*IF(IF(EXACT("30-van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420</v>
      </c>
      <c r="K48" s="9">
        <f>'Model inputs'!K36*IF(IF(EXACT("30-van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480</v>
      </c>
      <c r="L48" s="9">
        <f>'Model inputs'!L36*IF(IF(EXACT("30-van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540</v>
      </c>
      <c r="M48" s="9">
        <f>'Model inputs'!M36*IF(IF(EXACT("30-van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630</v>
      </c>
      <c r="N48" s="9">
        <f>'Model inputs'!N36*IF(IF(EXACT("30-van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660</v>
      </c>
      <c r="O48" s="9">
        <f>'Model inputs'!O36*IF(IF(EXACT("30-van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750</v>
      </c>
      <c r="P48" s="9">
        <f>'Model inputs'!P36*IF(IF(EXACT("30-van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810</v>
      </c>
      <c r="Q48" s="9">
        <f>'Model inputs'!Q36*IF(IF(EXACT("30-van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870</v>
      </c>
      <c r="R48" s="9">
        <f>'Model inputs'!R36*IF(IF(EXACT("30-van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930</v>
      </c>
      <c r="S48" s="9">
        <f>'Model inputs'!S36*IF(IF(EXACT("30-van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990</v>
      </c>
      <c r="T48" s="9">
        <f>'Model inputs'!T36*IF(IF(EXACT("30-van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1080</v>
      </c>
      <c r="U48" s="9">
        <f>'Model inputs'!U36*IF(IF(EXACT("30-van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1110</v>
      </c>
      <c r="V48" s="9">
        <f>'Model inputs'!V36*IF(IF(EXACT("30-van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1200</v>
      </c>
      <c r="W48" s="9">
        <f>'Model inputs'!W36*IF(IF(EXACT("30-van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1260</v>
      </c>
      <c r="X48" s="9">
        <f>'Model inputs'!X36*IF(IF(EXACT("30-van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1350</v>
      </c>
      <c r="Y48" s="9">
        <f>'Model inputs'!Y36*IF(IF(EXACT("30-van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1380</v>
      </c>
      <c r="Z48" s="9">
        <f>'Model inputs'!Z36*IF(IF(EXACT("30-van fleets","80-van fleets"),IF('Model inputs'!AA14="","",'Model inputs'!AA14),IF('Model inputs'!AA27="","",'Model inputs'!AA27))="",0,IF(EXACT("30-van fleets","80-van fleets"),IF('Model inputs'!AA14="","",'Model inputs'!AA14),IF('Model inputs'!AA27="","",'Model inputs'!AA27)))</f>
        <v>1470</v>
      </c>
    </row>
    <row r="49" outlineLevel="1">
      <c r="A49" t="inlineStr" s="20">
        <is>
          <t xml:space="preserve">Active vans &gt; 80-van fleets</t>
        </is>
      </c>
      <c r="C49" s="9">
        <f>'Model inputs'!C37*IF(IF(EXACT("80-van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D49" s="9">
        <f>'Model inputs'!D37*IF(IF(EXACT("80-van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E49" s="9">
        <f>'Model inputs'!E37*IF(IF(EXACT("80-van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F49" s="9">
        <f>'Model inputs'!F37*IF(IF(EXACT("80-van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G49" s="9">
        <f>'Model inputs'!G37*IF(IF(EXACT("80-van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0</v>
      </c>
      <c r="H49" s="9">
        <f>'Model inputs'!H37*IF(IF(EXACT("80-van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160</v>
      </c>
      <c r="I49" s="9">
        <f>'Model inputs'!I37*IF(IF(EXACT("80-van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160</v>
      </c>
      <c r="J49" s="9">
        <f>'Model inputs'!J37*IF(IF(EXACT("80-van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240</v>
      </c>
      <c r="K49" s="9">
        <f>'Model inputs'!K37*IF(IF(EXACT("80-van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240</v>
      </c>
      <c r="L49" s="9">
        <f>'Model inputs'!L37*IF(IF(EXACT("80-van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320</v>
      </c>
      <c r="M49" s="9">
        <f>'Model inputs'!M37*IF(IF(EXACT("80-van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320</v>
      </c>
      <c r="N49" s="9">
        <f>'Model inputs'!N37*IF(IF(EXACT("80-van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400</v>
      </c>
      <c r="O49" s="9">
        <f>'Model inputs'!O37*IF(IF(EXACT("80-van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400</v>
      </c>
      <c r="P49" s="9">
        <f>'Model inputs'!P37*IF(IF(EXACT("80-van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480</v>
      </c>
      <c r="Q49" s="9">
        <f>'Model inputs'!Q37*IF(IF(EXACT("80-van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560</v>
      </c>
      <c r="R49" s="9">
        <f>'Model inputs'!R37*IF(IF(EXACT("80-van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560</v>
      </c>
      <c r="S49" s="9">
        <f>'Model inputs'!S37*IF(IF(EXACT("80-van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640</v>
      </c>
      <c r="T49" s="9">
        <f>'Model inputs'!T37*IF(IF(EXACT("80-van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640</v>
      </c>
      <c r="U49" s="9">
        <f>'Model inputs'!U37*IF(IF(EXACT("80-van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720</v>
      </c>
      <c r="V49" s="9">
        <f>'Model inputs'!V37*IF(IF(EXACT("80-van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720</v>
      </c>
      <c r="W49" s="9">
        <f>'Model inputs'!W37*IF(IF(EXACT("80-van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800</v>
      </c>
      <c r="X49" s="9">
        <f>'Model inputs'!X37*IF(IF(EXACT("80-van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800</v>
      </c>
      <c r="Y49" s="9">
        <f>'Model inputs'!Y37*IF(IF(EXACT("80-van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880</v>
      </c>
      <c r="Z49" s="9">
        <f>'Model inputs'!Z37*IF(IF(EXACT("80-van fleets","80-van fleets"),IF('Model inputs'!AA14="","",'Model inputs'!AA14),IF('Model inputs'!AA27="","",'Model inputs'!AA27))="",0,IF(EXACT("80-van fleets","80-van fleets"),IF('Model inputs'!AA14="","",'Model inputs'!AA14),IF('Model inputs'!AA27="","",'Model inputs'!AA27)))</f>
        <v>880</v>
      </c>
    </row>
  </sheetData>
  <mergeCells count="2">
    <mergeCell ref="A1:AB1"/>
    <mergeCell ref="A2:AB2"/>
  </mergeCells>
</worksheet>
</file>